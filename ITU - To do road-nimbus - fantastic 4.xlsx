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To do" sheetId="2" r:id="rId6"/>
    <sheet state="visible" name="Tableau croisé dynamique" sheetId="3" r:id="rId7"/>
  </sheets>
  <definedNames/>
  <calcPr/>
</workbook>
</file>

<file path=xl/sharedStrings.xml><?xml version="1.0" encoding="utf-8"?>
<sst xmlns="http://schemas.openxmlformats.org/spreadsheetml/2006/main" count="682" uniqueCount="165">
  <si>
    <t>ETU</t>
  </si>
  <si>
    <t>Nom et Prénoms</t>
  </si>
  <si>
    <t>ETU003373</t>
  </si>
  <si>
    <t>RAZAFINDRALAMBO Nahary Finaritra Kevin</t>
  </si>
  <si>
    <t>ETU003250</t>
  </si>
  <si>
    <t>ANDRIANARISON Randy Herinala Matia</t>
  </si>
  <si>
    <t>ETU003274</t>
  </si>
  <si>
    <t>JEAN FRANCOIS Manakasina Judicaël</t>
  </si>
  <si>
    <t>ETU003200</t>
  </si>
  <si>
    <t>RASOLOFOHARILALA Sandaniaina Manoa</t>
  </si>
  <si>
    <t>Catégorie</t>
  </si>
  <si>
    <t>Module</t>
  </si>
  <si>
    <t>Page</t>
  </si>
  <si>
    <t>Tâches</t>
  </si>
  <si>
    <t>Type</t>
  </si>
  <si>
    <t>Qui</t>
  </si>
  <si>
    <t>Estimation</t>
  </si>
  <si>
    <t>Temps passé</t>
  </si>
  <si>
    <t>Reste à faire</t>
  </si>
  <si>
    <t>Avancement</t>
  </si>
  <si>
    <t>Backend</t>
  </si>
  <si>
    <t>Authentification</t>
  </si>
  <si>
    <t>Login Modal</t>
  </si>
  <si>
    <t>Validation email/pwd côté serveur</t>
  </si>
  <si>
    <t>Métier</t>
  </si>
  <si>
    <t>Gestion erreurs login (messages API)</t>
  </si>
  <si>
    <t>Connexion Firebase fallback</t>
  </si>
  <si>
    <t>Integration</t>
  </si>
  <si>
    <t>Connexion Postgres fallback</t>
  </si>
  <si>
    <t>Register Modal</t>
  </si>
  <si>
    <t>Validation champs inscription</t>
  </si>
  <si>
    <t>Création compte en DB</t>
  </si>
  <si>
    <t>Intégration Firebase inscription</t>
  </si>
  <si>
    <t>Intégration Postgres inscription</t>
  </si>
  <si>
    <t>Rôles &amp; droits</t>
  </si>
  <si>
    <t>Implémenter rôles &amp; droits (manager, visiteur)</t>
  </si>
  <si>
    <t>Sessions</t>
  </si>
  <si>
    <t>Sessions (durée de vie)</t>
  </si>
  <si>
    <t>Sécurité</t>
  </si>
  <si>
    <t>Sécurité (tentatives max, blocage)</t>
  </si>
  <si>
    <t>API</t>
  </si>
  <si>
    <t>Endpoint reset blocage utilisateur</t>
  </si>
  <si>
    <t>Swagger UI</t>
  </si>
  <si>
    <t>Doc endpoints login/register</t>
  </si>
  <si>
    <t>Doc endpoints sécurité sessions</t>
  </si>
  <si>
    <t>Docker</t>
  </si>
  <si>
    <t>Containerisation service auth</t>
  </si>
  <si>
    <t>Cartographie</t>
  </si>
  <si>
    <t>Serveur cartes</t>
  </si>
  <si>
    <t>Map View</t>
  </si>
  <si>
    <t>Installation serveur offline Docker</t>
  </si>
  <si>
    <t>Import données Antananarivo (OSM)</t>
  </si>
  <si>
    <t>Carte Web</t>
  </si>
  <si>
    <t>Affichage Leaflet tiles</t>
  </si>
  <si>
    <t>Affichage</t>
  </si>
  <si>
    <t>Affichage couches multiples</t>
  </si>
  <si>
    <t>Marqueurs signalements</t>
  </si>
  <si>
    <t>Tooltip infos signalement</t>
  </si>
  <si>
    <t>GPS localisation utilisateur</t>
  </si>
  <si>
    <t>Zoom dynamique</t>
  </si>
  <si>
    <t>Signalements</t>
  </si>
  <si>
    <t>CRUD signalements (create/read/update/delete)</t>
  </si>
  <si>
    <t>Validation données signalement</t>
  </si>
  <si>
    <t>Dashboard</t>
  </si>
  <si>
    <t>Statuts travaux (nouveau, en cours, terminé)</t>
  </si>
  <si>
    <t>Calcul avancement (%)</t>
  </si>
  <si>
    <t>Statistiques surface totale</t>
  </si>
  <si>
    <t>Statistiques budget total</t>
  </si>
  <si>
    <t>Liaison user/signalement (relation DB)</t>
  </si>
  <si>
    <t>Admin Panel</t>
  </si>
  <si>
    <t>Synchronisation Firebase (pull signalements)</t>
  </si>
  <si>
    <t>Synchronisation Firebase (push signalements)</t>
  </si>
  <si>
    <t>Doc endpoints signalements</t>
  </si>
  <si>
    <t>Containerisation service signalements</t>
  </si>
  <si>
    <t>Frontend</t>
  </si>
  <si>
    <t>Web</t>
  </si>
  <si>
    <t>Login UI (formulaire, validation)</t>
  </si>
  <si>
    <t>Inscription UI (formulaire, validation)</t>
  </si>
  <si>
    <t>User Profile</t>
  </si>
  <si>
    <t>Affichage infos utilisateur</t>
  </si>
  <si>
    <t>Édition infos utilisateur</t>
  </si>
  <si>
    <t>Carte signalements (points, couleurs)</t>
  </si>
  <si>
    <t>Tableau récapitulatif (nb points, surface)</t>
  </si>
  <si>
    <t>Tableau récapitulatif (budget, avancement)</t>
  </si>
  <si>
    <t>Mobile</t>
  </si>
  <si>
    <t>Auth</t>
  </si>
  <si>
    <t>Login Firebase</t>
  </si>
  <si>
    <t>Inscription via manager</t>
  </si>
  <si>
    <t>Carte signalements (Leaflet mobile)</t>
  </si>
  <si>
    <t>Géolocalisation GPS</t>
  </si>
  <si>
    <t>Signalement</t>
  </si>
  <si>
    <t>Création signalement (formulaire)</t>
  </si>
  <si>
    <t>Création signalement (map + marqueur)</t>
  </si>
  <si>
    <t>Filtre mes signalements</t>
  </si>
  <si>
    <t>Technique</t>
  </si>
  <si>
    <t>Global</t>
  </si>
  <si>
    <t>Git</t>
  </si>
  <si>
    <t>Héberger code sur GitHub/GitLab public</t>
  </si>
  <si>
    <t>Infra</t>
  </si>
  <si>
    <t>Doc</t>
  </si>
  <si>
    <t>Rédiger documentation technique</t>
  </si>
  <si>
    <t>Créer MCD (Modèle Conceptuel de Données)</t>
  </si>
  <si>
    <t>Captures scénarios d’utilisation</t>
  </si>
  <si>
    <t>APK</t>
  </si>
  <si>
    <t>Build APK mobile</t>
  </si>
  <si>
    <t>Suivi</t>
  </si>
  <si>
    <t>Google Sheets suivi tâches</t>
  </si>
  <si>
    <t>Gestion</t>
  </si>
  <si>
    <t>Tests</t>
  </si>
  <si>
    <t>Tests unitaires backend</t>
  </si>
  <si>
    <t>Dev</t>
  </si>
  <si>
    <t>Tests intégration API</t>
  </si>
  <si>
    <t>Tests UI frontend</t>
  </si>
  <si>
    <t>Tests mobile (APK)</t>
  </si>
  <si>
    <t>Docker Compose orchestration</t>
  </si>
  <si>
    <t>CI/CD pipeline (GitLab CI)</t>
  </si>
  <si>
    <t>Configuration runners GitLab</t>
  </si>
  <si>
    <t>Automatisation build backend</t>
  </si>
  <si>
    <t>Automatisation build frontend</t>
  </si>
  <si>
    <t>Automatisation build mobile APK</t>
  </si>
  <si>
    <t>Déploiement Docker sur serveur</t>
  </si>
  <si>
    <t>Monitoring containers (logs, santé)</t>
  </si>
  <si>
    <t>Alertes erreurs déploiement</t>
  </si>
  <si>
    <t>Backup base Postgres</t>
  </si>
  <si>
    <t>Restauration base Postgres</t>
  </si>
  <si>
    <t>Gestion utilisateurs DB</t>
  </si>
  <si>
    <t>Sécurisation accès DB</t>
  </si>
  <si>
    <t>Optimisation requêtes SQL</t>
  </si>
  <si>
    <t>Indexation tables principales</t>
  </si>
  <si>
    <t>Migration schéma DB</t>
  </si>
  <si>
    <t>Tests performance DB</t>
  </si>
  <si>
    <t>Documentation schéma DB</t>
  </si>
  <si>
    <t>Tests API Authentification</t>
  </si>
  <si>
    <t xml:space="preserve">Ajout lien "Voir photos" lors d'un survol </t>
  </si>
  <si>
    <t>Creation de la fonction getPhoto(Signalement)</t>
  </si>
  <si>
    <t>Creation de slot pour afficher les images des signalement</t>
  </si>
  <si>
    <t>Integration de la fonctions au slots</t>
  </si>
  <si>
    <t>modification de la fonction synchro():
Exportation des comptes creer vers firebase</t>
  </si>
  <si>
    <t xml:space="preserve">Re-Test de synchronisation + debug </t>
  </si>
  <si>
    <t xml:space="preserve">Modification du formulaire de modification de l'avancement:
Changement en liste deroulantes (en cours, termine),
Ajout de la date input date pour avancement
</t>
  </si>
  <si>
    <t>Creation de la page "TableauStatistique":
Bloc qui affiches les statistique de traitement moyen des traveaux</t>
  </si>
  <si>
    <t>Creation de fonction calcul dureeTraveaux(Signalement):
Calcul la difference entre la date de fin du signalement et la date de creation,
Retoune une duree en decimal</t>
  </si>
  <si>
    <t>Creation de fonction calcul moyenDureeTraveaux(List&lt;Signalement&gt; listeSignalement):
Calcul la moyenne de la duree avec les signalement dans la base,
Retourne un duree en decimal</t>
  </si>
  <si>
    <t>Integration de la fonctions a la page</t>
  </si>
  <si>
    <t>none</t>
  </si>
  <si>
    <t>Test modification avancement + debug</t>
  </si>
  <si>
    <t>Ajouter champs upload plusieurs photo</t>
  </si>
  <si>
    <t>Creation module notification pour changement de status</t>
  </si>
  <si>
    <t>Conception</t>
  </si>
  <si>
    <t>Modification du MCD</t>
  </si>
  <si>
    <t>Mise a jour des metiers vis a vis du nouveau MCD</t>
  </si>
  <si>
    <t>Ajout champs "niveau" lors du survol sur un signalement</t>
  </si>
  <si>
    <t>Modification de la fonction getSignalement()</t>
  </si>
  <si>
    <t>Re-integration de la fonction a la nouvelle page</t>
  </si>
  <si>
    <t>Test et debug</t>
  </si>
  <si>
    <t>Ajout du champs "Niveau" dans la creation de signalement: input number
CONTRAINTES:
Le niveau doit etre definies entre 1 minimal et 20 maximum</t>
  </si>
  <si>
    <t>Mise a jour des metiers dans signalements</t>
  </si>
  <si>
    <t>Creation page "Insertion_Tarif":
Input nombre: Prix par m2 forfaitaire</t>
  </si>
  <si>
    <t xml:space="preserve">Redirection de la page "Insertion_Tarif" pour stocker le tarif </t>
  </si>
  <si>
    <t>Creation de la fonction: calculBudget(idSignalement)
Suivant la formule suivante:
budget = prix_par_m2 * niveau * surface_m2</t>
  </si>
  <si>
    <t>Ajout de la colomnes "Budget" dans la liste des traveaux</t>
  </si>
  <si>
    <t>MAJ du "Documentation Technique": mettre les liens GIT</t>
  </si>
  <si>
    <t>Test et debug global du projet</t>
  </si>
  <si>
    <t xml:space="preserve">Preparation du livrable:
Suppression des librairie apres test final
Creation instructions pour le lancement des applications via docker
Ajout des collection postman
Generation de APK (android) </t>
  </si>
  <si>
    <t>Total Géneral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</si>
</sst>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rou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 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ableau croisé dynamique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Groupe" name="Groupe" id="1">
  <tableColumns count="2">
    <tableColumn name="ETU" id="1"/>
    <tableColumn name="Nom et Prénoms" id="2"/>
  </tableColumns>
  <tableStyleInfo name="Groupe-style" showColumnStripes="0" showFirstColumn="1" showLastColumn="1" showRowStripes="1"/>
</table>
</file>

<file path=xl/tables/table2.xml><?xml version="1.0" encoding="utf-8"?>
<table xmlns="http://schemas.openxmlformats.org/spreadsheetml/2006/main" ref="A1:J111" displayName="Tableau1" name="Tableau1" id="2">
  <tableColumns count="10">
    <tableColumn name="Catégorie" id="1"/>
    <tableColumn name="Module" id="2"/>
    <tableColumn name="Page" id="3"/>
    <tableColumn name="Tâches" id="4"/>
    <tableColumn name="Type" id="5"/>
    <tableColumn name="Qui" id="6"/>
    <tableColumn name="Estimation" id="7"/>
    <tableColumn name="Temps passé" id="8"/>
    <tableColumn name="Reste à faire" id="9"/>
    <tableColumn name="Avancement" id="10"/>
  </tableColumns>
  <tableStyleInfo name="To do-style" showColumnStripes="0" showFirstColumn="1" showLastColumn="1" showRowStripes="1"/>
</table>
</file>

<file path=xl/tables/table3.xml><?xml version="1.0" encoding="utf-8"?>
<table xmlns="http://schemas.openxmlformats.org/spreadsheetml/2006/main" headerRowCount="0" ref="A2:D5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Tableau croisé dynam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4.8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8.5"/>
    <col customWidth="1" min="3" max="3" width="13.38"/>
    <col customWidth="1" min="4" max="4" width="66.5"/>
    <col customWidth="1" min="5" max="5" width="13.88"/>
    <col customWidth="1" min="6" max="6" width="14.75"/>
    <col customWidth="1" min="7" max="7" width="16.75"/>
    <col customWidth="1" min="8" max="8" width="18.63"/>
    <col customWidth="1" min="9" max="10" width="18.0"/>
  </cols>
  <sheetData>
    <row r="1" ht="22.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ht="22.5" customHeight="1">
      <c r="A2" s="3" t="s">
        <v>20</v>
      </c>
      <c r="B2" s="3" t="s">
        <v>21</v>
      </c>
      <c r="C2" s="4" t="s">
        <v>22</v>
      </c>
      <c r="D2" s="4" t="s">
        <v>23</v>
      </c>
      <c r="E2" s="3" t="s">
        <v>24</v>
      </c>
      <c r="F2" s="3" t="s">
        <v>2</v>
      </c>
      <c r="G2" s="5">
        <v>10.0</v>
      </c>
      <c r="H2" s="5">
        <v>10.0</v>
      </c>
      <c r="I2" s="5">
        <f t="shared" ref="I2:I111" si="1">G2-H2</f>
        <v>0</v>
      </c>
      <c r="J2" s="6">
        <f t="shared" ref="J2:J111" si="2">((H2)/(H2+I2))</f>
        <v>1</v>
      </c>
    </row>
    <row r="3" ht="22.5" customHeight="1">
      <c r="A3" s="3" t="s">
        <v>20</v>
      </c>
      <c r="B3" s="3" t="s">
        <v>21</v>
      </c>
      <c r="C3" s="4" t="s">
        <v>22</v>
      </c>
      <c r="D3" s="4" t="s">
        <v>25</v>
      </c>
      <c r="E3" s="3" t="s">
        <v>24</v>
      </c>
      <c r="F3" s="3" t="s">
        <v>2</v>
      </c>
      <c r="G3" s="5">
        <v>10.0</v>
      </c>
      <c r="H3" s="5">
        <v>10.0</v>
      </c>
      <c r="I3" s="5">
        <f t="shared" si="1"/>
        <v>0</v>
      </c>
      <c r="J3" s="6">
        <f t="shared" si="2"/>
        <v>1</v>
      </c>
    </row>
    <row r="4" ht="22.5" customHeight="1">
      <c r="A4" s="3" t="s">
        <v>20</v>
      </c>
      <c r="B4" s="3" t="s">
        <v>21</v>
      </c>
      <c r="C4" s="4" t="s">
        <v>22</v>
      </c>
      <c r="D4" s="4" t="s">
        <v>26</v>
      </c>
      <c r="E4" s="3" t="s">
        <v>27</v>
      </c>
      <c r="F4" s="3" t="s">
        <v>2</v>
      </c>
      <c r="G4" s="5">
        <v>10.0</v>
      </c>
      <c r="H4" s="5">
        <v>10.0</v>
      </c>
      <c r="I4" s="5">
        <f t="shared" si="1"/>
        <v>0</v>
      </c>
      <c r="J4" s="6">
        <f t="shared" si="2"/>
        <v>1</v>
      </c>
    </row>
    <row r="5" ht="22.5" customHeight="1">
      <c r="A5" s="3" t="s">
        <v>20</v>
      </c>
      <c r="B5" s="3" t="s">
        <v>21</v>
      </c>
      <c r="C5" s="4" t="s">
        <v>22</v>
      </c>
      <c r="D5" s="4" t="s">
        <v>28</v>
      </c>
      <c r="E5" s="3" t="s">
        <v>27</v>
      </c>
      <c r="F5" s="3" t="s">
        <v>2</v>
      </c>
      <c r="G5" s="5">
        <v>10.0</v>
      </c>
      <c r="H5" s="5">
        <v>10.0</v>
      </c>
      <c r="I5" s="5">
        <f t="shared" si="1"/>
        <v>0</v>
      </c>
      <c r="J5" s="6">
        <f t="shared" si="2"/>
        <v>1</v>
      </c>
    </row>
    <row r="6" ht="22.5" customHeight="1">
      <c r="A6" s="3" t="s">
        <v>20</v>
      </c>
      <c r="B6" s="3" t="s">
        <v>21</v>
      </c>
      <c r="C6" s="4" t="s">
        <v>29</v>
      </c>
      <c r="D6" s="4" t="s">
        <v>30</v>
      </c>
      <c r="E6" s="3" t="s">
        <v>24</v>
      </c>
      <c r="F6" s="3" t="s">
        <v>2</v>
      </c>
      <c r="G6" s="5">
        <v>10.0</v>
      </c>
      <c r="H6" s="5">
        <v>10.0</v>
      </c>
      <c r="I6" s="5">
        <f t="shared" si="1"/>
        <v>0</v>
      </c>
      <c r="J6" s="6">
        <f t="shared" si="2"/>
        <v>1</v>
      </c>
    </row>
    <row r="7" ht="22.5" customHeight="1">
      <c r="A7" s="3" t="s">
        <v>20</v>
      </c>
      <c r="B7" s="3" t="s">
        <v>21</v>
      </c>
      <c r="C7" s="4" t="s">
        <v>29</v>
      </c>
      <c r="D7" s="4" t="s">
        <v>31</v>
      </c>
      <c r="E7" s="3" t="s">
        <v>24</v>
      </c>
      <c r="F7" s="3" t="s">
        <v>2</v>
      </c>
      <c r="G7" s="5">
        <v>10.0</v>
      </c>
      <c r="H7" s="5">
        <v>10.0</v>
      </c>
      <c r="I7" s="5">
        <f t="shared" si="1"/>
        <v>0</v>
      </c>
      <c r="J7" s="6">
        <f t="shared" si="2"/>
        <v>1</v>
      </c>
    </row>
    <row r="8" ht="22.5" customHeight="1">
      <c r="A8" s="3" t="s">
        <v>20</v>
      </c>
      <c r="B8" s="3" t="s">
        <v>21</v>
      </c>
      <c r="C8" s="4" t="s">
        <v>29</v>
      </c>
      <c r="D8" s="4" t="s">
        <v>32</v>
      </c>
      <c r="E8" s="3" t="s">
        <v>27</v>
      </c>
      <c r="F8" s="3" t="s">
        <v>2</v>
      </c>
      <c r="G8" s="5">
        <v>20.0</v>
      </c>
      <c r="H8" s="5">
        <v>20.0</v>
      </c>
      <c r="I8" s="5">
        <f t="shared" si="1"/>
        <v>0</v>
      </c>
      <c r="J8" s="6">
        <f t="shared" si="2"/>
        <v>1</v>
      </c>
    </row>
    <row r="9" ht="22.5" customHeight="1">
      <c r="A9" s="3" t="s">
        <v>20</v>
      </c>
      <c r="B9" s="3" t="s">
        <v>21</v>
      </c>
      <c r="C9" s="4" t="s">
        <v>29</v>
      </c>
      <c r="D9" s="4" t="s">
        <v>33</v>
      </c>
      <c r="E9" s="3" t="s">
        <v>27</v>
      </c>
      <c r="F9" s="3" t="s">
        <v>2</v>
      </c>
      <c r="G9" s="5">
        <v>20.0</v>
      </c>
      <c r="H9" s="5">
        <v>20.0</v>
      </c>
      <c r="I9" s="5">
        <f t="shared" si="1"/>
        <v>0</v>
      </c>
      <c r="J9" s="6">
        <f t="shared" si="2"/>
        <v>1</v>
      </c>
    </row>
    <row r="10" ht="22.5" customHeight="1">
      <c r="A10" s="3" t="s">
        <v>20</v>
      </c>
      <c r="B10" s="3" t="s">
        <v>21</v>
      </c>
      <c r="C10" s="4" t="s">
        <v>34</v>
      </c>
      <c r="D10" s="4" t="s">
        <v>35</v>
      </c>
      <c r="E10" s="3" t="s">
        <v>24</v>
      </c>
      <c r="F10" s="3" t="s">
        <v>2</v>
      </c>
      <c r="G10" s="5">
        <v>15.0</v>
      </c>
      <c r="H10" s="5">
        <v>15.0</v>
      </c>
      <c r="I10" s="5">
        <f t="shared" si="1"/>
        <v>0</v>
      </c>
      <c r="J10" s="6">
        <f t="shared" si="2"/>
        <v>1</v>
      </c>
    </row>
    <row r="11" ht="22.5" customHeight="1">
      <c r="A11" s="3" t="s">
        <v>20</v>
      </c>
      <c r="B11" s="3" t="s">
        <v>21</v>
      </c>
      <c r="C11" s="4" t="s">
        <v>36</v>
      </c>
      <c r="D11" s="4" t="s">
        <v>37</v>
      </c>
      <c r="E11" s="3" t="s">
        <v>24</v>
      </c>
      <c r="F11" s="3" t="s">
        <v>2</v>
      </c>
      <c r="G11" s="5">
        <v>15.0</v>
      </c>
      <c r="H11" s="5">
        <v>15.0</v>
      </c>
      <c r="I11" s="5">
        <f t="shared" si="1"/>
        <v>0</v>
      </c>
      <c r="J11" s="6">
        <f t="shared" si="2"/>
        <v>1</v>
      </c>
    </row>
    <row r="12" ht="22.5" customHeight="1">
      <c r="A12" s="3" t="s">
        <v>20</v>
      </c>
      <c r="B12" s="3" t="s">
        <v>21</v>
      </c>
      <c r="C12" s="4" t="s">
        <v>38</v>
      </c>
      <c r="D12" s="4" t="s">
        <v>39</v>
      </c>
      <c r="E12" s="3" t="s">
        <v>24</v>
      </c>
      <c r="F12" s="3" t="s">
        <v>2</v>
      </c>
      <c r="G12" s="5">
        <v>15.0</v>
      </c>
      <c r="H12" s="5">
        <v>15.0</v>
      </c>
      <c r="I12" s="5">
        <f t="shared" si="1"/>
        <v>0</v>
      </c>
      <c r="J12" s="6">
        <f t="shared" si="2"/>
        <v>1</v>
      </c>
    </row>
    <row r="13" ht="22.5" customHeight="1">
      <c r="A13" s="3" t="s">
        <v>20</v>
      </c>
      <c r="B13" s="3" t="s">
        <v>21</v>
      </c>
      <c r="C13" s="4" t="s">
        <v>40</v>
      </c>
      <c r="D13" s="4" t="s">
        <v>41</v>
      </c>
      <c r="E13" s="3" t="s">
        <v>27</v>
      </c>
      <c r="F13" s="3" t="s">
        <v>2</v>
      </c>
      <c r="G13" s="5">
        <v>15.0</v>
      </c>
      <c r="H13" s="5">
        <v>15.0</v>
      </c>
      <c r="I13" s="5">
        <f t="shared" si="1"/>
        <v>0</v>
      </c>
      <c r="J13" s="6">
        <f t="shared" si="2"/>
        <v>1</v>
      </c>
    </row>
    <row r="14" ht="22.5" customHeight="1">
      <c r="A14" s="3" t="s">
        <v>20</v>
      </c>
      <c r="B14" s="3" t="s">
        <v>21</v>
      </c>
      <c r="C14" s="4" t="s">
        <v>42</v>
      </c>
      <c r="D14" s="4" t="s">
        <v>43</v>
      </c>
      <c r="E14" s="3" t="s">
        <v>27</v>
      </c>
      <c r="F14" s="3" t="s">
        <v>2</v>
      </c>
      <c r="G14" s="5">
        <v>20.0</v>
      </c>
      <c r="H14" s="5">
        <v>20.0</v>
      </c>
      <c r="I14" s="5">
        <f t="shared" si="1"/>
        <v>0</v>
      </c>
      <c r="J14" s="6">
        <f t="shared" si="2"/>
        <v>1</v>
      </c>
    </row>
    <row r="15" ht="22.5" customHeight="1">
      <c r="A15" s="3" t="s">
        <v>20</v>
      </c>
      <c r="B15" s="3" t="s">
        <v>21</v>
      </c>
      <c r="C15" s="4" t="s">
        <v>42</v>
      </c>
      <c r="D15" s="4" t="s">
        <v>44</v>
      </c>
      <c r="E15" s="3" t="s">
        <v>27</v>
      </c>
      <c r="F15" s="3" t="s">
        <v>2</v>
      </c>
      <c r="G15" s="5">
        <v>20.0</v>
      </c>
      <c r="H15" s="5">
        <v>20.0</v>
      </c>
      <c r="I15" s="5">
        <f t="shared" si="1"/>
        <v>0</v>
      </c>
      <c r="J15" s="6">
        <f t="shared" si="2"/>
        <v>1</v>
      </c>
    </row>
    <row r="16" ht="22.5" customHeight="1">
      <c r="A16" s="3" t="s">
        <v>20</v>
      </c>
      <c r="B16" s="3" t="s">
        <v>21</v>
      </c>
      <c r="C16" s="4" t="s">
        <v>45</v>
      </c>
      <c r="D16" s="4" t="s">
        <v>46</v>
      </c>
      <c r="E16" s="3" t="s">
        <v>27</v>
      </c>
      <c r="F16" s="3" t="s">
        <v>2</v>
      </c>
      <c r="G16" s="5">
        <v>30.0</v>
      </c>
      <c r="H16" s="5">
        <v>30.0</v>
      </c>
      <c r="I16" s="5">
        <f t="shared" si="1"/>
        <v>0</v>
      </c>
      <c r="J16" s="6">
        <f t="shared" si="2"/>
        <v>1</v>
      </c>
    </row>
    <row r="17" ht="22.5" customHeight="1">
      <c r="A17" s="3" t="s">
        <v>47</v>
      </c>
      <c r="B17" s="3" t="s">
        <v>48</v>
      </c>
      <c r="C17" s="4" t="s">
        <v>49</v>
      </c>
      <c r="D17" s="4" t="s">
        <v>50</v>
      </c>
      <c r="E17" s="3" t="s">
        <v>27</v>
      </c>
      <c r="F17" s="3" t="s">
        <v>4</v>
      </c>
      <c r="G17" s="5">
        <v>30.0</v>
      </c>
      <c r="H17" s="5">
        <v>30.0</v>
      </c>
      <c r="I17" s="5">
        <f t="shared" si="1"/>
        <v>0</v>
      </c>
      <c r="J17" s="6">
        <f t="shared" si="2"/>
        <v>1</v>
      </c>
    </row>
    <row r="18" ht="22.5" customHeight="1">
      <c r="A18" s="3" t="s">
        <v>47</v>
      </c>
      <c r="B18" s="3" t="s">
        <v>48</v>
      </c>
      <c r="C18" s="4" t="s">
        <v>49</v>
      </c>
      <c r="D18" s="4" t="s">
        <v>51</v>
      </c>
      <c r="E18" s="3" t="s">
        <v>24</v>
      </c>
      <c r="F18" s="3" t="s">
        <v>4</v>
      </c>
      <c r="G18" s="5">
        <v>30.0</v>
      </c>
      <c r="H18" s="5">
        <v>30.0</v>
      </c>
      <c r="I18" s="5">
        <f t="shared" si="1"/>
        <v>0</v>
      </c>
      <c r="J18" s="6">
        <f t="shared" si="2"/>
        <v>1</v>
      </c>
    </row>
    <row r="19" ht="22.5" customHeight="1">
      <c r="A19" s="3" t="s">
        <v>47</v>
      </c>
      <c r="B19" s="3" t="s">
        <v>52</v>
      </c>
      <c r="C19" s="4" t="s">
        <v>49</v>
      </c>
      <c r="D19" s="4" t="s">
        <v>53</v>
      </c>
      <c r="E19" s="3" t="s">
        <v>54</v>
      </c>
      <c r="F19" s="3" t="s">
        <v>4</v>
      </c>
      <c r="G19" s="5">
        <v>15.0</v>
      </c>
      <c r="H19" s="5">
        <v>15.0</v>
      </c>
      <c r="I19" s="5">
        <f t="shared" si="1"/>
        <v>0</v>
      </c>
      <c r="J19" s="6">
        <f t="shared" si="2"/>
        <v>1</v>
      </c>
    </row>
    <row r="20" ht="22.5" customHeight="1">
      <c r="A20" s="3" t="s">
        <v>47</v>
      </c>
      <c r="B20" s="3" t="s">
        <v>52</v>
      </c>
      <c r="C20" s="4" t="s">
        <v>49</v>
      </c>
      <c r="D20" s="4" t="s">
        <v>55</v>
      </c>
      <c r="E20" s="3" t="s">
        <v>54</v>
      </c>
      <c r="F20" s="3" t="s">
        <v>4</v>
      </c>
      <c r="G20" s="5">
        <v>10.0</v>
      </c>
      <c r="H20" s="5">
        <v>10.0</v>
      </c>
      <c r="I20" s="5">
        <f t="shared" si="1"/>
        <v>0</v>
      </c>
      <c r="J20" s="6">
        <f t="shared" si="2"/>
        <v>1</v>
      </c>
    </row>
    <row r="21" ht="22.5" customHeight="1">
      <c r="A21" s="3" t="s">
        <v>47</v>
      </c>
      <c r="B21" s="3" t="s">
        <v>52</v>
      </c>
      <c r="C21" s="4" t="s">
        <v>49</v>
      </c>
      <c r="D21" s="4" t="s">
        <v>56</v>
      </c>
      <c r="E21" s="3" t="s">
        <v>54</v>
      </c>
      <c r="F21" s="3" t="s">
        <v>4</v>
      </c>
      <c r="G21" s="5">
        <v>10.0</v>
      </c>
      <c r="H21" s="5">
        <v>10.0</v>
      </c>
      <c r="I21" s="5">
        <f t="shared" si="1"/>
        <v>0</v>
      </c>
      <c r="J21" s="6">
        <f t="shared" si="2"/>
        <v>1</v>
      </c>
    </row>
    <row r="22" ht="22.5" customHeight="1">
      <c r="A22" s="3" t="s">
        <v>47</v>
      </c>
      <c r="B22" s="3" t="s">
        <v>52</v>
      </c>
      <c r="C22" s="4" t="s">
        <v>49</v>
      </c>
      <c r="D22" s="4" t="s">
        <v>57</v>
      </c>
      <c r="E22" s="3" t="s">
        <v>54</v>
      </c>
      <c r="F22" s="3" t="s">
        <v>4</v>
      </c>
      <c r="G22" s="5">
        <v>10.0</v>
      </c>
      <c r="H22" s="5">
        <v>10.0</v>
      </c>
      <c r="I22" s="5">
        <f t="shared" si="1"/>
        <v>0</v>
      </c>
      <c r="J22" s="6">
        <f t="shared" si="2"/>
        <v>1</v>
      </c>
    </row>
    <row r="23" ht="22.5" customHeight="1">
      <c r="A23" s="3" t="s">
        <v>47</v>
      </c>
      <c r="B23" s="3" t="s">
        <v>52</v>
      </c>
      <c r="C23" s="4" t="s">
        <v>49</v>
      </c>
      <c r="D23" s="4" t="s">
        <v>58</v>
      </c>
      <c r="E23" s="3" t="s">
        <v>24</v>
      </c>
      <c r="F23" s="3" t="s">
        <v>4</v>
      </c>
      <c r="G23" s="5">
        <v>10.0</v>
      </c>
      <c r="H23" s="5">
        <v>10.0</v>
      </c>
      <c r="I23" s="5">
        <f t="shared" si="1"/>
        <v>0</v>
      </c>
      <c r="J23" s="6">
        <f t="shared" si="2"/>
        <v>1</v>
      </c>
    </row>
    <row r="24" ht="22.5" customHeight="1">
      <c r="A24" s="3" t="s">
        <v>47</v>
      </c>
      <c r="B24" s="3" t="s">
        <v>52</v>
      </c>
      <c r="C24" s="4" t="s">
        <v>49</v>
      </c>
      <c r="D24" s="4" t="s">
        <v>59</v>
      </c>
      <c r="E24" s="3" t="s">
        <v>24</v>
      </c>
      <c r="F24" s="3" t="s">
        <v>4</v>
      </c>
      <c r="G24" s="5">
        <v>10.0</v>
      </c>
      <c r="H24" s="5">
        <v>10.0</v>
      </c>
      <c r="I24" s="5">
        <f t="shared" si="1"/>
        <v>0</v>
      </c>
      <c r="J24" s="6">
        <f t="shared" si="2"/>
        <v>1</v>
      </c>
    </row>
    <row r="25" ht="22.5" customHeight="1">
      <c r="A25" s="3" t="s">
        <v>20</v>
      </c>
      <c r="B25" s="3" t="s">
        <v>60</v>
      </c>
      <c r="C25" s="4" t="s">
        <v>49</v>
      </c>
      <c r="D25" s="4" t="s">
        <v>61</v>
      </c>
      <c r="E25" s="3" t="s">
        <v>24</v>
      </c>
      <c r="F25" s="3" t="s">
        <v>6</v>
      </c>
      <c r="G25" s="5">
        <v>10.0</v>
      </c>
      <c r="H25" s="5">
        <v>10.0</v>
      </c>
      <c r="I25" s="5">
        <f t="shared" si="1"/>
        <v>0</v>
      </c>
      <c r="J25" s="6">
        <f t="shared" si="2"/>
        <v>1</v>
      </c>
    </row>
    <row r="26" ht="22.5" customHeight="1">
      <c r="A26" s="3" t="s">
        <v>20</v>
      </c>
      <c r="B26" s="3" t="s">
        <v>60</v>
      </c>
      <c r="C26" s="4" t="s">
        <v>49</v>
      </c>
      <c r="D26" s="4" t="s">
        <v>62</v>
      </c>
      <c r="E26" s="3" t="s">
        <v>24</v>
      </c>
      <c r="F26" s="3" t="s">
        <v>6</v>
      </c>
      <c r="G26" s="5">
        <v>5.0</v>
      </c>
      <c r="H26" s="5">
        <v>5.0</v>
      </c>
      <c r="I26" s="5">
        <f t="shared" si="1"/>
        <v>0</v>
      </c>
      <c r="J26" s="6">
        <f t="shared" si="2"/>
        <v>1</v>
      </c>
    </row>
    <row r="27" ht="22.5" customHeight="1">
      <c r="A27" s="3" t="s">
        <v>20</v>
      </c>
      <c r="B27" s="3" t="s">
        <v>60</v>
      </c>
      <c r="C27" s="4" t="s">
        <v>63</v>
      </c>
      <c r="D27" s="4" t="s">
        <v>64</v>
      </c>
      <c r="E27" s="3" t="s">
        <v>24</v>
      </c>
      <c r="F27" s="3" t="s">
        <v>6</v>
      </c>
      <c r="G27" s="5">
        <v>10.0</v>
      </c>
      <c r="H27" s="5">
        <v>10.0</v>
      </c>
      <c r="I27" s="5">
        <f t="shared" si="1"/>
        <v>0</v>
      </c>
      <c r="J27" s="6">
        <f t="shared" si="2"/>
        <v>1</v>
      </c>
    </row>
    <row r="28" ht="22.5" customHeight="1">
      <c r="A28" s="3" t="s">
        <v>20</v>
      </c>
      <c r="B28" s="3" t="s">
        <v>60</v>
      </c>
      <c r="C28" s="4" t="s">
        <v>63</v>
      </c>
      <c r="D28" s="4" t="s">
        <v>65</v>
      </c>
      <c r="E28" s="3" t="s">
        <v>24</v>
      </c>
      <c r="F28" s="3" t="s">
        <v>6</v>
      </c>
      <c r="G28" s="5">
        <v>15.0</v>
      </c>
      <c r="H28" s="5">
        <v>15.0</v>
      </c>
      <c r="I28" s="5">
        <f t="shared" si="1"/>
        <v>0</v>
      </c>
      <c r="J28" s="6">
        <f t="shared" si="2"/>
        <v>1</v>
      </c>
    </row>
    <row r="29" ht="22.5" customHeight="1">
      <c r="A29" s="3" t="s">
        <v>20</v>
      </c>
      <c r="B29" s="3" t="s">
        <v>60</v>
      </c>
      <c r="C29" s="4" t="s">
        <v>63</v>
      </c>
      <c r="D29" s="4" t="s">
        <v>66</v>
      </c>
      <c r="E29" s="3" t="s">
        <v>24</v>
      </c>
      <c r="F29" s="3" t="s">
        <v>6</v>
      </c>
      <c r="G29" s="5">
        <v>15.0</v>
      </c>
      <c r="H29" s="5">
        <v>15.0</v>
      </c>
      <c r="I29" s="5">
        <f t="shared" si="1"/>
        <v>0</v>
      </c>
      <c r="J29" s="6">
        <f t="shared" si="2"/>
        <v>1</v>
      </c>
    </row>
    <row r="30" ht="22.5" customHeight="1">
      <c r="A30" s="3" t="s">
        <v>20</v>
      </c>
      <c r="B30" s="3" t="s">
        <v>60</v>
      </c>
      <c r="C30" s="4" t="s">
        <v>63</v>
      </c>
      <c r="D30" s="4" t="s">
        <v>67</v>
      </c>
      <c r="E30" s="3" t="s">
        <v>24</v>
      </c>
      <c r="F30" s="3" t="s">
        <v>6</v>
      </c>
      <c r="G30" s="5">
        <v>15.0</v>
      </c>
      <c r="H30" s="5">
        <v>15.0</v>
      </c>
      <c r="I30" s="5">
        <f t="shared" si="1"/>
        <v>0</v>
      </c>
      <c r="J30" s="6">
        <f t="shared" si="2"/>
        <v>1</v>
      </c>
    </row>
    <row r="31" ht="22.5" customHeight="1">
      <c r="A31" s="3" t="s">
        <v>20</v>
      </c>
      <c r="B31" s="3" t="s">
        <v>60</v>
      </c>
      <c r="C31" s="4" t="s">
        <v>49</v>
      </c>
      <c r="D31" s="4" t="s">
        <v>68</v>
      </c>
      <c r="E31" s="3" t="s">
        <v>24</v>
      </c>
      <c r="F31" s="3" t="s">
        <v>6</v>
      </c>
      <c r="G31" s="5">
        <v>25.0</v>
      </c>
      <c r="H31" s="5">
        <v>25.0</v>
      </c>
      <c r="I31" s="5">
        <f t="shared" si="1"/>
        <v>0</v>
      </c>
      <c r="J31" s="6">
        <f t="shared" si="2"/>
        <v>1</v>
      </c>
    </row>
    <row r="32" ht="22.5" customHeight="1">
      <c r="A32" s="3" t="s">
        <v>20</v>
      </c>
      <c r="B32" s="3" t="s">
        <v>60</v>
      </c>
      <c r="C32" s="4" t="s">
        <v>69</v>
      </c>
      <c r="D32" s="4" t="s">
        <v>70</v>
      </c>
      <c r="E32" s="3" t="s">
        <v>27</v>
      </c>
      <c r="F32" s="3" t="s">
        <v>6</v>
      </c>
      <c r="G32" s="5">
        <v>30.0</v>
      </c>
      <c r="H32" s="5">
        <v>30.0</v>
      </c>
      <c r="I32" s="5">
        <f t="shared" si="1"/>
        <v>0</v>
      </c>
      <c r="J32" s="6">
        <f t="shared" si="2"/>
        <v>1</v>
      </c>
    </row>
    <row r="33" ht="22.5" customHeight="1">
      <c r="A33" s="3" t="s">
        <v>20</v>
      </c>
      <c r="B33" s="3" t="s">
        <v>60</v>
      </c>
      <c r="C33" s="4" t="s">
        <v>69</v>
      </c>
      <c r="D33" s="4" t="s">
        <v>71</v>
      </c>
      <c r="E33" s="3" t="s">
        <v>27</v>
      </c>
      <c r="F33" s="3" t="s">
        <v>6</v>
      </c>
      <c r="G33" s="5">
        <v>30.0</v>
      </c>
      <c r="H33" s="5">
        <v>30.0</v>
      </c>
      <c r="I33" s="5">
        <f t="shared" si="1"/>
        <v>0</v>
      </c>
      <c r="J33" s="6">
        <f t="shared" si="2"/>
        <v>1</v>
      </c>
    </row>
    <row r="34" ht="22.5" customHeight="1">
      <c r="A34" s="3" t="s">
        <v>20</v>
      </c>
      <c r="B34" s="3" t="s">
        <v>60</v>
      </c>
      <c r="C34" s="4" t="s">
        <v>42</v>
      </c>
      <c r="D34" s="4" t="s">
        <v>72</v>
      </c>
      <c r="E34" s="3" t="s">
        <v>27</v>
      </c>
      <c r="F34" s="3" t="s">
        <v>6</v>
      </c>
      <c r="G34" s="5">
        <v>30.0</v>
      </c>
      <c r="H34" s="5">
        <v>30.0</v>
      </c>
      <c r="I34" s="5">
        <f t="shared" si="1"/>
        <v>0</v>
      </c>
      <c r="J34" s="6">
        <f t="shared" si="2"/>
        <v>1</v>
      </c>
    </row>
    <row r="35" ht="22.5" customHeight="1">
      <c r="A35" s="3" t="s">
        <v>20</v>
      </c>
      <c r="B35" s="3" t="s">
        <v>60</v>
      </c>
      <c r="C35" s="4" t="s">
        <v>45</v>
      </c>
      <c r="D35" s="4" t="s">
        <v>73</v>
      </c>
      <c r="E35" s="3" t="s">
        <v>27</v>
      </c>
      <c r="F35" s="3" t="s">
        <v>6</v>
      </c>
      <c r="G35" s="5">
        <v>30.0</v>
      </c>
      <c r="H35" s="5">
        <v>30.0</v>
      </c>
      <c r="I35" s="5">
        <f t="shared" si="1"/>
        <v>0</v>
      </c>
      <c r="J35" s="6">
        <f t="shared" si="2"/>
        <v>1</v>
      </c>
    </row>
    <row r="36" ht="22.5" customHeight="1">
      <c r="A36" s="3" t="s">
        <v>74</v>
      </c>
      <c r="B36" s="3" t="s">
        <v>75</v>
      </c>
      <c r="C36" s="4" t="s">
        <v>22</v>
      </c>
      <c r="D36" s="4" t="s">
        <v>76</v>
      </c>
      <c r="E36" s="3" t="s">
        <v>54</v>
      </c>
      <c r="F36" s="3" t="s">
        <v>8</v>
      </c>
      <c r="G36" s="5">
        <v>10.0</v>
      </c>
      <c r="H36" s="5">
        <v>10.0</v>
      </c>
      <c r="I36" s="5">
        <f t="shared" si="1"/>
        <v>0</v>
      </c>
      <c r="J36" s="6">
        <f t="shared" si="2"/>
        <v>1</v>
      </c>
    </row>
    <row r="37" ht="22.5" customHeight="1">
      <c r="A37" s="3" t="s">
        <v>74</v>
      </c>
      <c r="B37" s="3" t="s">
        <v>75</v>
      </c>
      <c r="C37" s="4" t="s">
        <v>22</v>
      </c>
      <c r="D37" s="4" t="s">
        <v>77</v>
      </c>
      <c r="E37" s="3" t="s">
        <v>54</v>
      </c>
      <c r="F37" s="3" t="s">
        <v>8</v>
      </c>
      <c r="G37" s="5">
        <v>10.0</v>
      </c>
      <c r="H37" s="5">
        <v>10.0</v>
      </c>
      <c r="I37" s="5">
        <f t="shared" si="1"/>
        <v>0</v>
      </c>
      <c r="J37" s="6">
        <f t="shared" si="2"/>
        <v>1</v>
      </c>
    </row>
    <row r="38" ht="22.5" customHeight="1">
      <c r="A38" s="3" t="s">
        <v>74</v>
      </c>
      <c r="B38" s="3" t="s">
        <v>75</v>
      </c>
      <c r="C38" s="4" t="s">
        <v>78</v>
      </c>
      <c r="D38" s="4" t="s">
        <v>79</v>
      </c>
      <c r="E38" s="3" t="s">
        <v>54</v>
      </c>
      <c r="F38" s="3" t="s">
        <v>8</v>
      </c>
      <c r="G38" s="5">
        <v>10.0</v>
      </c>
      <c r="H38" s="5">
        <v>10.0</v>
      </c>
      <c r="I38" s="5">
        <f t="shared" si="1"/>
        <v>0</v>
      </c>
      <c r="J38" s="6">
        <f t="shared" si="2"/>
        <v>1</v>
      </c>
    </row>
    <row r="39" ht="22.5" customHeight="1">
      <c r="A39" s="3" t="s">
        <v>74</v>
      </c>
      <c r="B39" s="3" t="s">
        <v>75</v>
      </c>
      <c r="C39" s="4" t="s">
        <v>78</v>
      </c>
      <c r="D39" s="4" t="s">
        <v>80</v>
      </c>
      <c r="E39" s="3" t="s">
        <v>54</v>
      </c>
      <c r="F39" s="3" t="s">
        <v>8</v>
      </c>
      <c r="G39" s="5">
        <v>10.0</v>
      </c>
      <c r="H39" s="5">
        <v>10.0</v>
      </c>
      <c r="I39" s="5">
        <f t="shared" si="1"/>
        <v>0</v>
      </c>
      <c r="J39" s="6">
        <f t="shared" si="2"/>
        <v>1</v>
      </c>
    </row>
    <row r="40" ht="22.5" customHeight="1">
      <c r="A40" s="3" t="s">
        <v>74</v>
      </c>
      <c r="B40" s="3" t="s">
        <v>75</v>
      </c>
      <c r="C40" s="4" t="s">
        <v>49</v>
      </c>
      <c r="D40" s="4" t="s">
        <v>81</v>
      </c>
      <c r="E40" s="3" t="s">
        <v>54</v>
      </c>
      <c r="F40" s="3" t="s">
        <v>8</v>
      </c>
      <c r="G40" s="5">
        <v>10.0</v>
      </c>
      <c r="H40" s="5">
        <v>10.0</v>
      </c>
      <c r="I40" s="5">
        <f t="shared" si="1"/>
        <v>0</v>
      </c>
      <c r="J40" s="6">
        <f t="shared" si="2"/>
        <v>1</v>
      </c>
    </row>
    <row r="41" ht="22.5" customHeight="1">
      <c r="A41" s="3" t="s">
        <v>74</v>
      </c>
      <c r="B41" s="3" t="s">
        <v>75</v>
      </c>
      <c r="C41" s="4" t="s">
        <v>49</v>
      </c>
      <c r="D41" s="4" t="s">
        <v>57</v>
      </c>
      <c r="E41" s="3" t="s">
        <v>54</v>
      </c>
      <c r="F41" s="3" t="s">
        <v>8</v>
      </c>
      <c r="G41" s="5">
        <v>10.0</v>
      </c>
      <c r="H41" s="5">
        <v>10.0</v>
      </c>
      <c r="I41" s="5">
        <f t="shared" si="1"/>
        <v>0</v>
      </c>
      <c r="J41" s="6">
        <f t="shared" si="2"/>
        <v>1</v>
      </c>
    </row>
    <row r="42" ht="22.5" customHeight="1">
      <c r="A42" s="3" t="s">
        <v>74</v>
      </c>
      <c r="B42" s="3" t="s">
        <v>75</v>
      </c>
      <c r="C42" s="4" t="s">
        <v>63</v>
      </c>
      <c r="D42" s="4" t="s">
        <v>82</v>
      </c>
      <c r="E42" s="3" t="s">
        <v>54</v>
      </c>
      <c r="F42" s="3" t="s">
        <v>8</v>
      </c>
      <c r="G42" s="5">
        <v>10.0</v>
      </c>
      <c r="H42" s="5">
        <v>10.0</v>
      </c>
      <c r="I42" s="5">
        <f t="shared" si="1"/>
        <v>0</v>
      </c>
      <c r="J42" s="6">
        <f t="shared" si="2"/>
        <v>1</v>
      </c>
    </row>
    <row r="43" ht="22.5" customHeight="1">
      <c r="A43" s="3" t="s">
        <v>74</v>
      </c>
      <c r="B43" s="3" t="s">
        <v>75</v>
      </c>
      <c r="C43" s="4" t="s">
        <v>63</v>
      </c>
      <c r="D43" s="4" t="s">
        <v>83</v>
      </c>
      <c r="E43" s="3" t="s">
        <v>54</v>
      </c>
      <c r="F43" s="3" t="s">
        <v>8</v>
      </c>
      <c r="G43" s="5">
        <v>10.0</v>
      </c>
      <c r="H43" s="5">
        <v>10.0</v>
      </c>
      <c r="I43" s="5">
        <f t="shared" si="1"/>
        <v>0</v>
      </c>
      <c r="J43" s="6">
        <f t="shared" si="2"/>
        <v>1</v>
      </c>
    </row>
    <row r="44" ht="22.5" customHeight="1">
      <c r="A44" s="3" t="s">
        <v>74</v>
      </c>
      <c r="B44" s="3" t="s">
        <v>84</v>
      </c>
      <c r="C44" s="4" t="s">
        <v>85</v>
      </c>
      <c r="D44" s="4" t="s">
        <v>86</v>
      </c>
      <c r="E44" s="3" t="s">
        <v>27</v>
      </c>
      <c r="F44" s="3" t="s">
        <v>8</v>
      </c>
      <c r="G44" s="5">
        <v>10.0</v>
      </c>
      <c r="H44" s="5">
        <v>10.0</v>
      </c>
      <c r="I44" s="5">
        <f t="shared" si="1"/>
        <v>0</v>
      </c>
      <c r="J44" s="6">
        <f t="shared" si="2"/>
        <v>1</v>
      </c>
    </row>
    <row r="45" ht="22.5" customHeight="1">
      <c r="A45" s="3" t="s">
        <v>74</v>
      </c>
      <c r="B45" s="3" t="s">
        <v>84</v>
      </c>
      <c r="C45" s="4" t="s">
        <v>85</v>
      </c>
      <c r="D45" s="4" t="s">
        <v>87</v>
      </c>
      <c r="E45" s="3" t="s">
        <v>27</v>
      </c>
      <c r="F45" s="3" t="s">
        <v>8</v>
      </c>
      <c r="G45" s="5">
        <v>10.0</v>
      </c>
      <c r="H45" s="5">
        <v>10.0</v>
      </c>
      <c r="I45" s="5">
        <f t="shared" si="1"/>
        <v>0</v>
      </c>
      <c r="J45" s="6">
        <f t="shared" si="2"/>
        <v>1</v>
      </c>
    </row>
    <row r="46" ht="22.5" customHeight="1">
      <c r="A46" s="3" t="s">
        <v>74</v>
      </c>
      <c r="B46" s="3" t="s">
        <v>84</v>
      </c>
      <c r="C46" s="4" t="s">
        <v>49</v>
      </c>
      <c r="D46" s="4" t="s">
        <v>88</v>
      </c>
      <c r="E46" s="3" t="s">
        <v>54</v>
      </c>
      <c r="F46" s="3" t="s">
        <v>8</v>
      </c>
      <c r="G46" s="5">
        <v>15.0</v>
      </c>
      <c r="H46" s="5">
        <v>15.0</v>
      </c>
      <c r="I46" s="5">
        <f t="shared" si="1"/>
        <v>0</v>
      </c>
      <c r="J46" s="6">
        <f t="shared" si="2"/>
        <v>1</v>
      </c>
    </row>
    <row r="47" ht="22.5" customHeight="1">
      <c r="A47" s="3" t="s">
        <v>74</v>
      </c>
      <c r="B47" s="3" t="s">
        <v>84</v>
      </c>
      <c r="C47" s="4" t="s">
        <v>49</v>
      </c>
      <c r="D47" s="4" t="s">
        <v>89</v>
      </c>
      <c r="E47" s="3" t="s">
        <v>54</v>
      </c>
      <c r="F47" s="3" t="s">
        <v>8</v>
      </c>
      <c r="G47" s="5">
        <v>15.0</v>
      </c>
      <c r="H47" s="5">
        <v>15.0</v>
      </c>
      <c r="I47" s="5">
        <f t="shared" si="1"/>
        <v>0</v>
      </c>
      <c r="J47" s="6">
        <f t="shared" si="2"/>
        <v>1</v>
      </c>
    </row>
    <row r="48" ht="22.5" customHeight="1">
      <c r="A48" s="3" t="s">
        <v>74</v>
      </c>
      <c r="B48" s="3" t="s">
        <v>84</v>
      </c>
      <c r="C48" s="4" t="s">
        <v>90</v>
      </c>
      <c r="D48" s="4" t="s">
        <v>91</v>
      </c>
      <c r="E48" s="3" t="s">
        <v>24</v>
      </c>
      <c r="F48" s="3" t="s">
        <v>8</v>
      </c>
      <c r="G48" s="5">
        <v>25.0</v>
      </c>
      <c r="H48" s="5">
        <v>25.0</v>
      </c>
      <c r="I48" s="5">
        <f t="shared" si="1"/>
        <v>0</v>
      </c>
      <c r="J48" s="6">
        <f t="shared" si="2"/>
        <v>1</v>
      </c>
    </row>
    <row r="49" ht="22.5" customHeight="1">
      <c r="A49" s="3" t="s">
        <v>74</v>
      </c>
      <c r="B49" s="3" t="s">
        <v>84</v>
      </c>
      <c r="C49" s="4" t="s">
        <v>90</v>
      </c>
      <c r="D49" s="4" t="s">
        <v>92</v>
      </c>
      <c r="E49" s="3" t="s">
        <v>24</v>
      </c>
      <c r="F49" s="3" t="s">
        <v>8</v>
      </c>
      <c r="G49" s="5">
        <v>30.0</v>
      </c>
      <c r="H49" s="5">
        <v>30.0</v>
      </c>
      <c r="I49" s="5">
        <f t="shared" si="1"/>
        <v>0</v>
      </c>
      <c r="J49" s="6">
        <f t="shared" si="2"/>
        <v>1</v>
      </c>
    </row>
    <row r="50" ht="22.5" customHeight="1">
      <c r="A50" s="3" t="s">
        <v>74</v>
      </c>
      <c r="B50" s="3" t="s">
        <v>84</v>
      </c>
      <c r="C50" s="4" t="s">
        <v>90</v>
      </c>
      <c r="D50" s="4" t="s">
        <v>93</v>
      </c>
      <c r="E50" s="3" t="s">
        <v>24</v>
      </c>
      <c r="F50" s="3" t="s">
        <v>8</v>
      </c>
      <c r="G50" s="5">
        <v>30.0</v>
      </c>
      <c r="H50" s="5">
        <v>30.0</v>
      </c>
      <c r="I50" s="5">
        <f t="shared" si="1"/>
        <v>0</v>
      </c>
      <c r="J50" s="6">
        <f t="shared" si="2"/>
        <v>1</v>
      </c>
    </row>
    <row r="51" ht="22.5" customHeight="1">
      <c r="A51" s="3" t="s">
        <v>94</v>
      </c>
      <c r="B51" s="3" t="s">
        <v>95</v>
      </c>
      <c r="C51" s="4" t="s">
        <v>96</v>
      </c>
      <c r="D51" s="4" t="s">
        <v>97</v>
      </c>
      <c r="E51" s="3" t="s">
        <v>98</v>
      </c>
      <c r="F51" s="3" t="s">
        <v>2</v>
      </c>
      <c r="G51" s="5">
        <v>30.0</v>
      </c>
      <c r="H51" s="5">
        <v>30.0</v>
      </c>
      <c r="I51" s="5">
        <f t="shared" si="1"/>
        <v>0</v>
      </c>
      <c r="J51" s="6">
        <f t="shared" si="2"/>
        <v>1</v>
      </c>
    </row>
    <row r="52" ht="22.5" customHeight="1">
      <c r="A52" s="3" t="s">
        <v>94</v>
      </c>
      <c r="B52" s="3" t="s">
        <v>95</v>
      </c>
      <c r="C52" s="4" t="s">
        <v>99</v>
      </c>
      <c r="D52" s="4" t="s">
        <v>100</v>
      </c>
      <c r="E52" s="3" t="s">
        <v>99</v>
      </c>
      <c r="F52" s="3" t="s">
        <v>2</v>
      </c>
      <c r="G52" s="5">
        <v>30.0</v>
      </c>
      <c r="H52" s="5">
        <v>30.0</v>
      </c>
      <c r="I52" s="5">
        <f t="shared" si="1"/>
        <v>0</v>
      </c>
      <c r="J52" s="6">
        <f t="shared" si="2"/>
        <v>1</v>
      </c>
    </row>
    <row r="53" ht="22.5" customHeight="1">
      <c r="A53" s="3" t="s">
        <v>94</v>
      </c>
      <c r="B53" s="3" t="s">
        <v>95</v>
      </c>
      <c r="C53" s="4" t="s">
        <v>99</v>
      </c>
      <c r="D53" s="4" t="s">
        <v>101</v>
      </c>
      <c r="E53" s="3" t="s">
        <v>99</v>
      </c>
      <c r="F53" s="3" t="s">
        <v>2</v>
      </c>
      <c r="G53" s="5">
        <v>10.0</v>
      </c>
      <c r="H53" s="5">
        <v>10.0</v>
      </c>
      <c r="I53" s="5">
        <f t="shared" si="1"/>
        <v>0</v>
      </c>
      <c r="J53" s="6">
        <f t="shared" si="2"/>
        <v>1</v>
      </c>
    </row>
    <row r="54" ht="22.5" customHeight="1">
      <c r="A54" s="3" t="s">
        <v>94</v>
      </c>
      <c r="B54" s="3" t="s">
        <v>95</v>
      </c>
      <c r="C54" s="4" t="s">
        <v>99</v>
      </c>
      <c r="D54" s="4" t="s">
        <v>102</v>
      </c>
      <c r="E54" s="3" t="s">
        <v>99</v>
      </c>
      <c r="F54" s="3" t="s">
        <v>2</v>
      </c>
      <c r="G54" s="5">
        <v>10.0</v>
      </c>
      <c r="H54" s="5">
        <v>10.0</v>
      </c>
      <c r="I54" s="5">
        <f t="shared" si="1"/>
        <v>0</v>
      </c>
      <c r="J54" s="6">
        <f t="shared" si="2"/>
        <v>1</v>
      </c>
    </row>
    <row r="55" ht="22.5" customHeight="1">
      <c r="A55" s="3" t="s">
        <v>94</v>
      </c>
      <c r="B55" s="3" t="s">
        <v>95</v>
      </c>
      <c r="C55" s="4" t="s">
        <v>103</v>
      </c>
      <c r="D55" s="4" t="s">
        <v>104</v>
      </c>
      <c r="E55" s="3" t="s">
        <v>84</v>
      </c>
      <c r="F55" s="3" t="s">
        <v>8</v>
      </c>
      <c r="G55" s="5">
        <v>10.0</v>
      </c>
      <c r="H55" s="5">
        <v>10.0</v>
      </c>
      <c r="I55" s="5">
        <f t="shared" si="1"/>
        <v>0</v>
      </c>
      <c r="J55" s="6">
        <f t="shared" si="2"/>
        <v>1</v>
      </c>
    </row>
    <row r="56" ht="22.5" customHeight="1">
      <c r="A56" s="3" t="s">
        <v>94</v>
      </c>
      <c r="B56" s="3" t="s">
        <v>95</v>
      </c>
      <c r="C56" s="4" t="s">
        <v>105</v>
      </c>
      <c r="D56" s="4" t="s">
        <v>106</v>
      </c>
      <c r="E56" s="3" t="s">
        <v>107</v>
      </c>
      <c r="F56" s="3" t="s">
        <v>2</v>
      </c>
      <c r="G56" s="5">
        <v>10.0</v>
      </c>
      <c r="H56" s="5">
        <v>10.0</v>
      </c>
      <c r="I56" s="5">
        <f t="shared" si="1"/>
        <v>0</v>
      </c>
      <c r="J56" s="6">
        <f t="shared" si="2"/>
        <v>1</v>
      </c>
    </row>
    <row r="57" ht="22.5" customHeight="1">
      <c r="A57" s="3" t="s">
        <v>94</v>
      </c>
      <c r="B57" s="3" t="s">
        <v>95</v>
      </c>
      <c r="C57" s="4" t="s">
        <v>108</v>
      </c>
      <c r="D57" s="4" t="s">
        <v>109</v>
      </c>
      <c r="E57" s="3" t="s">
        <v>110</v>
      </c>
      <c r="F57" s="3" t="s">
        <v>6</v>
      </c>
      <c r="G57" s="5">
        <v>10.0</v>
      </c>
      <c r="H57" s="5">
        <v>10.0</v>
      </c>
      <c r="I57" s="5">
        <f t="shared" si="1"/>
        <v>0</v>
      </c>
      <c r="J57" s="6">
        <f t="shared" si="2"/>
        <v>1</v>
      </c>
    </row>
    <row r="58" ht="22.5" customHeight="1">
      <c r="A58" s="3" t="s">
        <v>94</v>
      </c>
      <c r="B58" s="3" t="s">
        <v>95</v>
      </c>
      <c r="C58" s="4" t="s">
        <v>108</v>
      </c>
      <c r="D58" s="4" t="s">
        <v>111</v>
      </c>
      <c r="E58" s="3" t="s">
        <v>110</v>
      </c>
      <c r="F58" s="3" t="s">
        <v>6</v>
      </c>
      <c r="G58" s="5">
        <v>10.0</v>
      </c>
      <c r="H58" s="5">
        <v>10.0</v>
      </c>
      <c r="I58" s="5">
        <f t="shared" si="1"/>
        <v>0</v>
      </c>
      <c r="J58" s="6">
        <f t="shared" si="2"/>
        <v>1</v>
      </c>
    </row>
    <row r="59" ht="22.5" customHeight="1">
      <c r="A59" s="3" t="s">
        <v>94</v>
      </c>
      <c r="B59" s="3" t="s">
        <v>95</v>
      </c>
      <c r="C59" s="4" t="s">
        <v>108</v>
      </c>
      <c r="D59" s="4" t="s">
        <v>112</v>
      </c>
      <c r="E59" s="3" t="s">
        <v>110</v>
      </c>
      <c r="F59" s="3" t="s">
        <v>8</v>
      </c>
      <c r="G59" s="5">
        <v>10.0</v>
      </c>
      <c r="H59" s="5">
        <v>10.0</v>
      </c>
      <c r="I59" s="5">
        <f t="shared" si="1"/>
        <v>0</v>
      </c>
      <c r="J59" s="6">
        <f t="shared" si="2"/>
        <v>1</v>
      </c>
    </row>
    <row r="60" ht="22.5" customHeight="1">
      <c r="A60" s="3" t="s">
        <v>94</v>
      </c>
      <c r="B60" s="3" t="s">
        <v>95</v>
      </c>
      <c r="C60" s="4" t="s">
        <v>108</v>
      </c>
      <c r="D60" s="4" t="s">
        <v>113</v>
      </c>
      <c r="E60" s="3" t="s">
        <v>110</v>
      </c>
      <c r="F60" s="3" t="s">
        <v>8</v>
      </c>
      <c r="G60" s="5">
        <v>10.0</v>
      </c>
      <c r="H60" s="5">
        <v>10.0</v>
      </c>
      <c r="I60" s="5">
        <f t="shared" si="1"/>
        <v>0</v>
      </c>
      <c r="J60" s="6">
        <f t="shared" si="2"/>
        <v>1</v>
      </c>
    </row>
    <row r="61" ht="22.5" customHeight="1">
      <c r="A61" s="3" t="s">
        <v>94</v>
      </c>
      <c r="B61" s="3" t="s">
        <v>95</v>
      </c>
      <c r="C61" s="4" t="s">
        <v>98</v>
      </c>
      <c r="D61" s="4" t="s">
        <v>114</v>
      </c>
      <c r="E61" s="3" t="s">
        <v>98</v>
      </c>
      <c r="F61" s="3" t="s">
        <v>4</v>
      </c>
      <c r="G61" s="5">
        <v>10.0</v>
      </c>
      <c r="H61" s="5">
        <v>10.0</v>
      </c>
      <c r="I61" s="5">
        <f t="shared" si="1"/>
        <v>0</v>
      </c>
      <c r="J61" s="6">
        <f t="shared" si="2"/>
        <v>1</v>
      </c>
    </row>
    <row r="62" ht="22.5" customHeight="1">
      <c r="A62" s="3" t="s">
        <v>94</v>
      </c>
      <c r="B62" s="3" t="s">
        <v>95</v>
      </c>
      <c r="C62" s="4" t="s">
        <v>98</v>
      </c>
      <c r="D62" s="4" t="s">
        <v>115</v>
      </c>
      <c r="E62" s="3" t="s">
        <v>98</v>
      </c>
      <c r="F62" s="3" t="s">
        <v>4</v>
      </c>
      <c r="G62" s="5">
        <v>10.0</v>
      </c>
      <c r="H62" s="5">
        <v>10.0</v>
      </c>
      <c r="I62" s="5">
        <f t="shared" si="1"/>
        <v>0</v>
      </c>
      <c r="J62" s="6">
        <f t="shared" si="2"/>
        <v>1</v>
      </c>
    </row>
    <row r="63" ht="22.5" customHeight="1">
      <c r="A63" s="3" t="s">
        <v>94</v>
      </c>
      <c r="B63" s="3" t="s">
        <v>95</v>
      </c>
      <c r="C63" s="4" t="s">
        <v>98</v>
      </c>
      <c r="D63" s="4" t="s">
        <v>116</v>
      </c>
      <c r="E63" s="3" t="s">
        <v>98</v>
      </c>
      <c r="F63" s="3" t="s">
        <v>4</v>
      </c>
      <c r="G63" s="5">
        <v>10.0</v>
      </c>
      <c r="H63" s="5">
        <v>10.0</v>
      </c>
      <c r="I63" s="5">
        <f t="shared" si="1"/>
        <v>0</v>
      </c>
      <c r="J63" s="6">
        <f t="shared" si="2"/>
        <v>1</v>
      </c>
    </row>
    <row r="64" ht="22.5" customHeight="1">
      <c r="A64" s="3" t="s">
        <v>94</v>
      </c>
      <c r="B64" s="3" t="s">
        <v>95</v>
      </c>
      <c r="C64" s="4" t="s">
        <v>98</v>
      </c>
      <c r="D64" s="4" t="s">
        <v>117</v>
      </c>
      <c r="E64" s="3" t="s">
        <v>98</v>
      </c>
      <c r="F64" s="3" t="s">
        <v>4</v>
      </c>
      <c r="G64" s="5">
        <v>10.0</v>
      </c>
      <c r="H64" s="5">
        <v>10.0</v>
      </c>
      <c r="I64" s="5">
        <f t="shared" si="1"/>
        <v>0</v>
      </c>
      <c r="J64" s="6">
        <f t="shared" si="2"/>
        <v>1</v>
      </c>
    </row>
    <row r="65" ht="22.5" customHeight="1">
      <c r="A65" s="3" t="s">
        <v>94</v>
      </c>
      <c r="B65" s="3" t="s">
        <v>95</v>
      </c>
      <c r="C65" s="4" t="s">
        <v>98</v>
      </c>
      <c r="D65" s="4" t="s">
        <v>118</v>
      </c>
      <c r="E65" s="3" t="s">
        <v>98</v>
      </c>
      <c r="F65" s="3" t="s">
        <v>4</v>
      </c>
      <c r="G65" s="5">
        <v>10.0</v>
      </c>
      <c r="H65" s="5">
        <v>10.0</v>
      </c>
      <c r="I65" s="5">
        <f t="shared" si="1"/>
        <v>0</v>
      </c>
      <c r="J65" s="6">
        <f t="shared" si="2"/>
        <v>1</v>
      </c>
    </row>
    <row r="66" ht="22.5" customHeight="1">
      <c r="A66" s="3" t="s">
        <v>94</v>
      </c>
      <c r="B66" s="3" t="s">
        <v>95</v>
      </c>
      <c r="C66" s="4" t="s">
        <v>98</v>
      </c>
      <c r="D66" s="4" t="s">
        <v>119</v>
      </c>
      <c r="E66" s="3" t="s">
        <v>98</v>
      </c>
      <c r="F66" s="3" t="s">
        <v>4</v>
      </c>
      <c r="G66" s="5">
        <v>10.0</v>
      </c>
      <c r="H66" s="5">
        <v>10.0</v>
      </c>
      <c r="I66" s="5">
        <f t="shared" si="1"/>
        <v>0</v>
      </c>
      <c r="J66" s="6">
        <f t="shared" si="2"/>
        <v>1</v>
      </c>
    </row>
    <row r="67" ht="22.5" customHeight="1">
      <c r="A67" s="3" t="s">
        <v>94</v>
      </c>
      <c r="B67" s="3" t="s">
        <v>95</v>
      </c>
      <c r="C67" s="4" t="s">
        <v>98</v>
      </c>
      <c r="D67" s="4" t="s">
        <v>120</v>
      </c>
      <c r="E67" s="3" t="s">
        <v>98</v>
      </c>
      <c r="F67" s="3" t="s">
        <v>4</v>
      </c>
      <c r="G67" s="5">
        <v>10.0</v>
      </c>
      <c r="H67" s="5">
        <v>10.0</v>
      </c>
      <c r="I67" s="5">
        <f t="shared" si="1"/>
        <v>0</v>
      </c>
      <c r="J67" s="6">
        <f t="shared" si="2"/>
        <v>1</v>
      </c>
    </row>
    <row r="68" ht="22.5" customHeight="1">
      <c r="A68" s="3" t="s">
        <v>94</v>
      </c>
      <c r="B68" s="3" t="s">
        <v>95</v>
      </c>
      <c r="C68" s="4" t="s">
        <v>98</v>
      </c>
      <c r="D68" s="4" t="s">
        <v>121</v>
      </c>
      <c r="E68" s="3" t="s">
        <v>98</v>
      </c>
      <c r="F68" s="3" t="s">
        <v>4</v>
      </c>
      <c r="G68" s="5">
        <v>10.0</v>
      </c>
      <c r="H68" s="5">
        <v>10.0</v>
      </c>
      <c r="I68" s="5">
        <f t="shared" si="1"/>
        <v>0</v>
      </c>
      <c r="J68" s="6">
        <f t="shared" si="2"/>
        <v>1</v>
      </c>
    </row>
    <row r="69" ht="22.5" customHeight="1">
      <c r="A69" s="3" t="s">
        <v>94</v>
      </c>
      <c r="B69" s="3" t="s">
        <v>95</v>
      </c>
      <c r="C69" s="4" t="s">
        <v>98</v>
      </c>
      <c r="D69" s="4" t="s">
        <v>122</v>
      </c>
      <c r="E69" s="3" t="s">
        <v>98</v>
      </c>
      <c r="F69" s="3" t="s">
        <v>4</v>
      </c>
      <c r="G69" s="5">
        <v>10.0</v>
      </c>
      <c r="H69" s="5">
        <v>10.0</v>
      </c>
      <c r="I69" s="5">
        <f t="shared" si="1"/>
        <v>0</v>
      </c>
      <c r="J69" s="6">
        <f t="shared" si="2"/>
        <v>1</v>
      </c>
    </row>
    <row r="70" ht="22.5" customHeight="1">
      <c r="A70" s="3" t="s">
        <v>94</v>
      </c>
      <c r="B70" s="3" t="s">
        <v>95</v>
      </c>
      <c r="C70" s="4" t="s">
        <v>98</v>
      </c>
      <c r="D70" s="4" t="s">
        <v>123</v>
      </c>
      <c r="E70" s="3" t="s">
        <v>98</v>
      </c>
      <c r="F70" s="3" t="s">
        <v>4</v>
      </c>
      <c r="G70" s="5">
        <v>10.0</v>
      </c>
      <c r="H70" s="5">
        <v>10.0</v>
      </c>
      <c r="I70" s="5">
        <f t="shared" si="1"/>
        <v>0</v>
      </c>
      <c r="J70" s="6">
        <f t="shared" si="2"/>
        <v>1</v>
      </c>
    </row>
    <row r="71" ht="22.5" customHeight="1">
      <c r="A71" s="3" t="s">
        <v>94</v>
      </c>
      <c r="B71" s="3" t="s">
        <v>95</v>
      </c>
      <c r="C71" s="4" t="s">
        <v>98</v>
      </c>
      <c r="D71" s="4" t="s">
        <v>124</v>
      </c>
      <c r="E71" s="3" t="s">
        <v>98</v>
      </c>
      <c r="F71" s="3" t="s">
        <v>4</v>
      </c>
      <c r="G71" s="5">
        <v>10.0</v>
      </c>
      <c r="H71" s="5">
        <v>10.0</v>
      </c>
      <c r="I71" s="5">
        <f t="shared" si="1"/>
        <v>0</v>
      </c>
      <c r="J71" s="6">
        <f t="shared" si="2"/>
        <v>1</v>
      </c>
    </row>
    <row r="72" ht="22.5" customHeight="1">
      <c r="A72" s="3" t="s">
        <v>94</v>
      </c>
      <c r="B72" s="3" t="s">
        <v>95</v>
      </c>
      <c r="C72" s="4" t="s">
        <v>98</v>
      </c>
      <c r="D72" s="4" t="s">
        <v>125</v>
      </c>
      <c r="E72" s="3" t="s">
        <v>98</v>
      </c>
      <c r="F72" s="3" t="s">
        <v>4</v>
      </c>
      <c r="G72" s="5">
        <v>10.0</v>
      </c>
      <c r="H72" s="5">
        <v>10.0</v>
      </c>
      <c r="I72" s="5">
        <f t="shared" si="1"/>
        <v>0</v>
      </c>
      <c r="J72" s="6">
        <f t="shared" si="2"/>
        <v>1</v>
      </c>
    </row>
    <row r="73" ht="22.5" customHeight="1">
      <c r="A73" s="3" t="s">
        <v>94</v>
      </c>
      <c r="B73" s="3" t="s">
        <v>95</v>
      </c>
      <c r="C73" s="4" t="s">
        <v>98</v>
      </c>
      <c r="D73" s="4" t="s">
        <v>126</v>
      </c>
      <c r="E73" s="3" t="s">
        <v>98</v>
      </c>
      <c r="F73" s="3" t="s">
        <v>4</v>
      </c>
      <c r="G73" s="5">
        <v>10.0</v>
      </c>
      <c r="H73" s="5">
        <v>10.0</v>
      </c>
      <c r="I73" s="5">
        <f t="shared" si="1"/>
        <v>0</v>
      </c>
      <c r="J73" s="6">
        <f t="shared" si="2"/>
        <v>1</v>
      </c>
    </row>
    <row r="74" ht="22.5" customHeight="1">
      <c r="A74" s="3" t="s">
        <v>94</v>
      </c>
      <c r="B74" s="3" t="s">
        <v>95</v>
      </c>
      <c r="C74" s="4" t="s">
        <v>98</v>
      </c>
      <c r="D74" s="4" t="s">
        <v>127</v>
      </c>
      <c r="E74" s="3" t="s">
        <v>98</v>
      </c>
      <c r="F74" s="3" t="s">
        <v>4</v>
      </c>
      <c r="G74" s="5">
        <v>10.0</v>
      </c>
      <c r="H74" s="5">
        <v>10.0</v>
      </c>
      <c r="I74" s="5">
        <f t="shared" si="1"/>
        <v>0</v>
      </c>
      <c r="J74" s="6">
        <f t="shared" si="2"/>
        <v>1</v>
      </c>
    </row>
    <row r="75" ht="22.5" customHeight="1">
      <c r="A75" s="3" t="s">
        <v>94</v>
      </c>
      <c r="B75" s="3" t="s">
        <v>95</v>
      </c>
      <c r="C75" s="4" t="s">
        <v>98</v>
      </c>
      <c r="D75" s="4" t="s">
        <v>128</v>
      </c>
      <c r="E75" s="3" t="s">
        <v>98</v>
      </c>
      <c r="F75" s="3" t="s">
        <v>4</v>
      </c>
      <c r="G75" s="5">
        <v>10.0</v>
      </c>
      <c r="H75" s="5">
        <v>10.0</v>
      </c>
      <c r="I75" s="5">
        <f t="shared" si="1"/>
        <v>0</v>
      </c>
      <c r="J75" s="6">
        <f t="shared" si="2"/>
        <v>1</v>
      </c>
    </row>
    <row r="76" ht="22.5" customHeight="1">
      <c r="A76" s="3" t="s">
        <v>94</v>
      </c>
      <c r="B76" s="3" t="s">
        <v>95</v>
      </c>
      <c r="C76" s="4" t="s">
        <v>98</v>
      </c>
      <c r="D76" s="4" t="s">
        <v>129</v>
      </c>
      <c r="E76" s="3" t="s">
        <v>98</v>
      </c>
      <c r="F76" s="3" t="s">
        <v>4</v>
      </c>
      <c r="G76" s="5">
        <v>10.0</v>
      </c>
      <c r="H76" s="5">
        <v>10.0</v>
      </c>
      <c r="I76" s="5">
        <f t="shared" si="1"/>
        <v>0</v>
      </c>
      <c r="J76" s="6">
        <f t="shared" si="2"/>
        <v>1</v>
      </c>
    </row>
    <row r="77" ht="22.5" customHeight="1">
      <c r="A77" s="3" t="s">
        <v>94</v>
      </c>
      <c r="B77" s="3" t="s">
        <v>95</v>
      </c>
      <c r="C77" s="4" t="s">
        <v>98</v>
      </c>
      <c r="D77" s="4" t="s">
        <v>130</v>
      </c>
      <c r="E77" s="3" t="s">
        <v>98</v>
      </c>
      <c r="F77" s="3" t="s">
        <v>4</v>
      </c>
      <c r="G77" s="5">
        <v>10.0</v>
      </c>
      <c r="H77" s="5">
        <v>10.0</v>
      </c>
      <c r="I77" s="5">
        <f t="shared" si="1"/>
        <v>0</v>
      </c>
      <c r="J77" s="6">
        <f t="shared" si="2"/>
        <v>1</v>
      </c>
    </row>
    <row r="78" ht="22.5" customHeight="1">
      <c r="A78" s="3" t="s">
        <v>94</v>
      </c>
      <c r="B78" s="3" t="s">
        <v>95</v>
      </c>
      <c r="C78" s="4" t="s">
        <v>98</v>
      </c>
      <c r="D78" s="4" t="s">
        <v>131</v>
      </c>
      <c r="E78" s="3" t="s">
        <v>99</v>
      </c>
      <c r="F78" s="3" t="s">
        <v>4</v>
      </c>
      <c r="G78" s="5">
        <v>10.0</v>
      </c>
      <c r="H78" s="5">
        <v>10.0</v>
      </c>
      <c r="I78" s="5">
        <f t="shared" si="1"/>
        <v>0</v>
      </c>
      <c r="J78" s="6">
        <f t="shared" si="2"/>
        <v>1</v>
      </c>
    </row>
    <row r="79" ht="22.5" customHeight="1">
      <c r="A79" s="3" t="s">
        <v>94</v>
      </c>
      <c r="B79" s="3" t="s">
        <v>95</v>
      </c>
      <c r="C79" s="4" t="s">
        <v>108</v>
      </c>
      <c r="D79" s="4" t="s">
        <v>132</v>
      </c>
      <c r="E79" s="3" t="s">
        <v>110</v>
      </c>
      <c r="F79" s="3" t="s">
        <v>6</v>
      </c>
      <c r="G79" s="5">
        <v>10.0</v>
      </c>
      <c r="H79" s="5">
        <v>10.0</v>
      </c>
      <c r="I79" s="5">
        <f t="shared" si="1"/>
        <v>0</v>
      </c>
      <c r="J79" s="6">
        <f t="shared" si="2"/>
        <v>1</v>
      </c>
    </row>
    <row r="80" ht="22.5" customHeight="1">
      <c r="A80" s="3" t="s">
        <v>74</v>
      </c>
      <c r="B80" s="3" t="s">
        <v>75</v>
      </c>
      <c r="C80" s="4" t="s">
        <v>49</v>
      </c>
      <c r="D80" s="4" t="s">
        <v>133</v>
      </c>
      <c r="E80" s="3" t="s">
        <v>54</v>
      </c>
      <c r="F80" s="3" t="s">
        <v>4</v>
      </c>
      <c r="G80" s="5">
        <v>10.0</v>
      </c>
      <c r="H80" s="5">
        <v>10.0</v>
      </c>
      <c r="I80" s="5">
        <f t="shared" si="1"/>
        <v>0</v>
      </c>
      <c r="J80" s="6">
        <f t="shared" si="2"/>
        <v>1</v>
      </c>
    </row>
    <row r="81" ht="22.5" customHeight="1">
      <c r="A81" s="3" t="s">
        <v>20</v>
      </c>
      <c r="B81" s="3" t="s">
        <v>60</v>
      </c>
      <c r="C81" s="4" t="s">
        <v>49</v>
      </c>
      <c r="D81" s="4" t="s">
        <v>134</v>
      </c>
      <c r="E81" s="3" t="s">
        <v>24</v>
      </c>
      <c r="F81" s="3" t="s">
        <v>4</v>
      </c>
      <c r="G81" s="5">
        <v>10.0</v>
      </c>
      <c r="H81" s="5">
        <v>10.0</v>
      </c>
      <c r="I81" s="5">
        <f t="shared" si="1"/>
        <v>0</v>
      </c>
      <c r="J81" s="6">
        <f t="shared" si="2"/>
        <v>1</v>
      </c>
    </row>
    <row r="82" ht="22.5" customHeight="1">
      <c r="A82" s="3" t="s">
        <v>74</v>
      </c>
      <c r="B82" s="3" t="s">
        <v>75</v>
      </c>
      <c r="C82" s="4" t="s">
        <v>49</v>
      </c>
      <c r="D82" s="4" t="s">
        <v>135</v>
      </c>
      <c r="E82" s="3" t="s">
        <v>54</v>
      </c>
      <c r="F82" s="3" t="s">
        <v>4</v>
      </c>
      <c r="G82" s="5">
        <v>10.0</v>
      </c>
      <c r="H82" s="5">
        <v>10.0</v>
      </c>
      <c r="I82" s="5">
        <f t="shared" si="1"/>
        <v>0</v>
      </c>
      <c r="J82" s="6">
        <f t="shared" si="2"/>
        <v>1</v>
      </c>
    </row>
    <row r="83" ht="22.5" customHeight="1">
      <c r="A83" s="3" t="s">
        <v>74</v>
      </c>
      <c r="B83" s="3" t="s">
        <v>75</v>
      </c>
      <c r="C83" s="4" t="s">
        <v>49</v>
      </c>
      <c r="D83" s="4" t="s">
        <v>136</v>
      </c>
      <c r="E83" s="3" t="s">
        <v>27</v>
      </c>
      <c r="F83" s="3" t="s">
        <v>4</v>
      </c>
      <c r="G83" s="5">
        <v>10.0</v>
      </c>
      <c r="H83" s="5">
        <v>10.0</v>
      </c>
      <c r="I83" s="5">
        <f t="shared" si="1"/>
        <v>0</v>
      </c>
      <c r="J83" s="6">
        <f t="shared" si="2"/>
        <v>1</v>
      </c>
    </row>
    <row r="84" ht="22.5" customHeight="1">
      <c r="A84" s="3" t="s">
        <v>20</v>
      </c>
      <c r="B84" s="3" t="s">
        <v>75</v>
      </c>
      <c r="C84" s="4" t="s">
        <v>69</v>
      </c>
      <c r="D84" s="4" t="s">
        <v>137</v>
      </c>
      <c r="E84" s="3" t="s">
        <v>24</v>
      </c>
      <c r="F84" s="3" t="s">
        <v>2</v>
      </c>
      <c r="G84" s="5">
        <v>30.0</v>
      </c>
      <c r="H84" s="5">
        <v>30.0</v>
      </c>
      <c r="I84" s="5">
        <f t="shared" si="1"/>
        <v>0</v>
      </c>
      <c r="J84" s="6">
        <f t="shared" si="2"/>
        <v>1</v>
      </c>
    </row>
    <row r="85" ht="22.5" customHeight="1">
      <c r="A85" s="3" t="s">
        <v>94</v>
      </c>
      <c r="B85" s="3" t="s">
        <v>95</v>
      </c>
      <c r="C85" s="4" t="s">
        <v>108</v>
      </c>
      <c r="D85" s="4" t="s">
        <v>138</v>
      </c>
      <c r="E85" s="3" t="s">
        <v>110</v>
      </c>
      <c r="F85" s="3" t="s">
        <v>2</v>
      </c>
      <c r="G85" s="5">
        <v>60.0</v>
      </c>
      <c r="H85" s="5">
        <v>60.0</v>
      </c>
      <c r="I85" s="5">
        <f t="shared" si="1"/>
        <v>0</v>
      </c>
      <c r="J85" s="6">
        <f t="shared" si="2"/>
        <v>1</v>
      </c>
    </row>
    <row r="86" ht="22.5" customHeight="1">
      <c r="A86" s="3" t="s">
        <v>74</v>
      </c>
      <c r="B86" s="3" t="s">
        <v>60</v>
      </c>
      <c r="C86" s="4" t="s">
        <v>69</v>
      </c>
      <c r="D86" s="4" t="s">
        <v>139</v>
      </c>
      <c r="E86" s="3" t="s">
        <v>54</v>
      </c>
      <c r="F86" s="3" t="s">
        <v>6</v>
      </c>
      <c r="G86" s="5">
        <v>15.0</v>
      </c>
      <c r="H86" s="5">
        <v>15.0</v>
      </c>
      <c r="I86" s="5">
        <f t="shared" si="1"/>
        <v>0</v>
      </c>
      <c r="J86" s="6">
        <f t="shared" si="2"/>
        <v>1</v>
      </c>
    </row>
    <row r="87" ht="22.5" customHeight="1">
      <c r="A87" s="3" t="s">
        <v>74</v>
      </c>
      <c r="B87" s="3" t="s">
        <v>75</v>
      </c>
      <c r="C87" s="4" t="s">
        <v>69</v>
      </c>
      <c r="D87" s="4" t="s">
        <v>140</v>
      </c>
      <c r="E87" s="3" t="s">
        <v>54</v>
      </c>
      <c r="F87" s="3" t="s">
        <v>2</v>
      </c>
      <c r="G87" s="5">
        <v>15.0</v>
      </c>
      <c r="H87" s="5">
        <v>15.0</v>
      </c>
      <c r="I87" s="5">
        <f t="shared" si="1"/>
        <v>0</v>
      </c>
      <c r="J87" s="6">
        <f t="shared" si="2"/>
        <v>1</v>
      </c>
    </row>
    <row r="88" ht="22.5" customHeight="1">
      <c r="A88" s="3" t="s">
        <v>20</v>
      </c>
      <c r="B88" s="3" t="s">
        <v>60</v>
      </c>
      <c r="C88" s="4" t="s">
        <v>90</v>
      </c>
      <c r="D88" s="4" t="s">
        <v>141</v>
      </c>
      <c r="E88" s="3" t="s">
        <v>24</v>
      </c>
      <c r="F88" s="3" t="s">
        <v>2</v>
      </c>
      <c r="G88" s="5">
        <v>20.0</v>
      </c>
      <c r="H88" s="5">
        <v>20.0</v>
      </c>
      <c r="I88" s="5">
        <f t="shared" si="1"/>
        <v>0</v>
      </c>
      <c r="J88" s="6">
        <f t="shared" si="2"/>
        <v>1</v>
      </c>
    </row>
    <row r="89" ht="22.5" customHeight="1">
      <c r="A89" s="7" t="s">
        <v>20</v>
      </c>
      <c r="B89" s="7" t="s">
        <v>60</v>
      </c>
      <c r="C89" s="4" t="s">
        <v>90</v>
      </c>
      <c r="D89" s="8" t="s">
        <v>142</v>
      </c>
      <c r="E89" s="7" t="s">
        <v>24</v>
      </c>
      <c r="F89" s="7" t="s">
        <v>2</v>
      </c>
      <c r="G89" s="9">
        <v>20.0</v>
      </c>
      <c r="H89" s="9">
        <v>20.0</v>
      </c>
      <c r="I89" s="5">
        <f t="shared" si="1"/>
        <v>0</v>
      </c>
      <c r="J89" s="6">
        <f t="shared" si="2"/>
        <v>1</v>
      </c>
    </row>
    <row r="90" ht="22.5" customHeight="1">
      <c r="A90" s="7" t="s">
        <v>74</v>
      </c>
      <c r="B90" s="7" t="s">
        <v>60</v>
      </c>
      <c r="C90" s="4" t="s">
        <v>69</v>
      </c>
      <c r="D90" s="8" t="s">
        <v>143</v>
      </c>
      <c r="E90" s="7" t="s">
        <v>27</v>
      </c>
      <c r="F90" s="7" t="s">
        <v>2</v>
      </c>
      <c r="G90" s="9">
        <v>15.0</v>
      </c>
      <c r="H90" s="9">
        <v>15.0</v>
      </c>
      <c r="I90" s="5">
        <f t="shared" si="1"/>
        <v>0</v>
      </c>
      <c r="J90" s="6">
        <f t="shared" si="2"/>
        <v>1</v>
      </c>
    </row>
    <row r="91" ht="22.5" customHeight="1">
      <c r="A91" s="7" t="s">
        <v>94</v>
      </c>
      <c r="B91" s="7" t="s">
        <v>95</v>
      </c>
      <c r="C91" s="8" t="s">
        <v>144</v>
      </c>
      <c r="D91" s="8" t="s">
        <v>145</v>
      </c>
      <c r="E91" s="7" t="s">
        <v>110</v>
      </c>
      <c r="F91" s="7" t="s">
        <v>2</v>
      </c>
      <c r="G91" s="9">
        <v>60.0</v>
      </c>
      <c r="H91" s="9">
        <v>60.0</v>
      </c>
      <c r="I91" s="5">
        <f t="shared" si="1"/>
        <v>0</v>
      </c>
      <c r="J91" s="6">
        <f t="shared" si="2"/>
        <v>1</v>
      </c>
    </row>
    <row r="92" ht="22.5" customHeight="1">
      <c r="A92" s="7" t="s">
        <v>74</v>
      </c>
      <c r="B92" s="7" t="s">
        <v>84</v>
      </c>
      <c r="C92" s="8" t="s">
        <v>90</v>
      </c>
      <c r="D92" s="8" t="s">
        <v>146</v>
      </c>
      <c r="E92" s="7" t="s">
        <v>84</v>
      </c>
      <c r="F92" s="7" t="s">
        <v>8</v>
      </c>
      <c r="G92" s="9">
        <v>10.0</v>
      </c>
      <c r="H92" s="9">
        <v>10.0</v>
      </c>
      <c r="I92" s="5">
        <f t="shared" si="1"/>
        <v>0</v>
      </c>
      <c r="J92" s="6">
        <f t="shared" si="2"/>
        <v>1</v>
      </c>
    </row>
    <row r="93" ht="22.5" customHeight="1">
      <c r="A93" s="7" t="s">
        <v>20</v>
      </c>
      <c r="B93" s="7" t="s">
        <v>84</v>
      </c>
      <c r="C93" s="8" t="s">
        <v>90</v>
      </c>
      <c r="D93" s="8" t="s">
        <v>147</v>
      </c>
      <c r="E93" s="7" t="s">
        <v>84</v>
      </c>
      <c r="F93" s="7" t="s">
        <v>8</v>
      </c>
      <c r="G93" s="9">
        <v>10.0</v>
      </c>
      <c r="H93" s="9">
        <v>10.0</v>
      </c>
      <c r="I93" s="5">
        <f t="shared" si="1"/>
        <v>0</v>
      </c>
      <c r="J93" s="6">
        <f t="shared" si="2"/>
        <v>1</v>
      </c>
    </row>
    <row r="94" ht="22.5" customHeight="1">
      <c r="A94" s="7" t="s">
        <v>148</v>
      </c>
      <c r="B94" s="7" t="s">
        <v>75</v>
      </c>
      <c r="C94" s="8"/>
      <c r="D94" s="8" t="s">
        <v>149</v>
      </c>
      <c r="E94" s="7" t="s">
        <v>98</v>
      </c>
      <c r="F94" s="7" t="s">
        <v>2</v>
      </c>
      <c r="G94" s="9">
        <v>15.0</v>
      </c>
      <c r="H94" s="9">
        <v>15.0</v>
      </c>
      <c r="I94" s="5">
        <f t="shared" si="1"/>
        <v>0</v>
      </c>
      <c r="J94" s="6">
        <f t="shared" si="2"/>
        <v>1</v>
      </c>
    </row>
    <row r="95" ht="22.5" customHeight="1">
      <c r="A95" s="7" t="s">
        <v>20</v>
      </c>
      <c r="B95" s="7" t="s">
        <v>95</v>
      </c>
      <c r="C95" s="8"/>
      <c r="D95" s="4" t="s">
        <v>150</v>
      </c>
      <c r="E95" s="7" t="s">
        <v>24</v>
      </c>
      <c r="F95" s="7" t="s">
        <v>2</v>
      </c>
      <c r="G95" s="9">
        <v>25.0</v>
      </c>
      <c r="H95" s="9">
        <v>25.0</v>
      </c>
      <c r="I95" s="5">
        <f t="shared" si="1"/>
        <v>0</v>
      </c>
      <c r="J95" s="6">
        <f t="shared" si="2"/>
        <v>1</v>
      </c>
    </row>
    <row r="96" ht="22.5" customHeight="1">
      <c r="A96" s="7" t="s">
        <v>74</v>
      </c>
      <c r="B96" s="7" t="s">
        <v>60</v>
      </c>
      <c r="C96" s="8" t="s">
        <v>49</v>
      </c>
      <c r="D96" s="8" t="s">
        <v>151</v>
      </c>
      <c r="E96" s="7" t="s">
        <v>54</v>
      </c>
      <c r="F96" s="7" t="s">
        <v>2</v>
      </c>
      <c r="G96" s="9">
        <v>5.0</v>
      </c>
      <c r="H96" s="9">
        <v>5.0</v>
      </c>
      <c r="I96" s="5">
        <f t="shared" si="1"/>
        <v>0</v>
      </c>
      <c r="J96" s="6">
        <f t="shared" si="2"/>
        <v>1</v>
      </c>
    </row>
    <row r="97" ht="22.5" customHeight="1">
      <c r="A97" s="7" t="s">
        <v>20</v>
      </c>
      <c r="B97" s="7" t="s">
        <v>60</v>
      </c>
      <c r="C97" s="8" t="s">
        <v>90</v>
      </c>
      <c r="D97" s="8" t="s">
        <v>152</v>
      </c>
      <c r="E97" s="7" t="s">
        <v>24</v>
      </c>
      <c r="F97" s="7" t="s">
        <v>2</v>
      </c>
      <c r="G97" s="9">
        <v>5.0</v>
      </c>
      <c r="H97" s="9">
        <v>5.0</v>
      </c>
      <c r="I97" s="5">
        <f t="shared" si="1"/>
        <v>0</v>
      </c>
      <c r="J97" s="6">
        <f t="shared" si="2"/>
        <v>1</v>
      </c>
    </row>
    <row r="98" ht="22.5" customHeight="1">
      <c r="A98" s="7" t="s">
        <v>94</v>
      </c>
      <c r="B98" s="7" t="s">
        <v>60</v>
      </c>
      <c r="C98" s="8" t="s">
        <v>90</v>
      </c>
      <c r="D98" s="8" t="s">
        <v>153</v>
      </c>
      <c r="E98" s="7" t="s">
        <v>27</v>
      </c>
      <c r="F98" s="7" t="s">
        <v>2</v>
      </c>
      <c r="G98" s="9">
        <v>10.0</v>
      </c>
      <c r="H98" s="9">
        <v>10.0</v>
      </c>
      <c r="I98" s="5">
        <f t="shared" si="1"/>
        <v>0</v>
      </c>
      <c r="J98" s="6">
        <f t="shared" si="2"/>
        <v>1</v>
      </c>
    </row>
    <row r="99" ht="22.5" customHeight="1">
      <c r="A99" s="7" t="s">
        <v>94</v>
      </c>
      <c r="B99" s="7" t="s">
        <v>95</v>
      </c>
      <c r="C99" s="8"/>
      <c r="D99" s="8" t="s">
        <v>154</v>
      </c>
      <c r="E99" s="7" t="s">
        <v>110</v>
      </c>
      <c r="F99" s="7" t="s">
        <v>2</v>
      </c>
      <c r="G99" s="9">
        <v>30.0</v>
      </c>
      <c r="H99" s="9">
        <v>30.0</v>
      </c>
      <c r="I99" s="5">
        <f t="shared" si="1"/>
        <v>0</v>
      </c>
      <c r="J99" s="6">
        <f t="shared" si="2"/>
        <v>1</v>
      </c>
    </row>
    <row r="100" ht="22.5" customHeight="1">
      <c r="A100" s="7" t="s">
        <v>74</v>
      </c>
      <c r="B100" s="7" t="s">
        <v>60</v>
      </c>
      <c r="C100" s="8" t="s">
        <v>90</v>
      </c>
      <c r="D100" s="8" t="s">
        <v>155</v>
      </c>
      <c r="E100" s="7" t="s">
        <v>54</v>
      </c>
      <c r="F100" s="7" t="s">
        <v>4</v>
      </c>
      <c r="G100" s="9">
        <v>5.0</v>
      </c>
      <c r="H100" s="9">
        <v>5.0</v>
      </c>
      <c r="I100" s="5">
        <f t="shared" si="1"/>
        <v>0</v>
      </c>
      <c r="J100" s="6">
        <f t="shared" si="2"/>
        <v>1</v>
      </c>
    </row>
    <row r="101" ht="22.5" customHeight="1">
      <c r="A101" s="7" t="s">
        <v>20</v>
      </c>
      <c r="B101" s="7" t="s">
        <v>60</v>
      </c>
      <c r="C101" s="8" t="s">
        <v>90</v>
      </c>
      <c r="D101" s="4" t="s">
        <v>156</v>
      </c>
      <c r="E101" s="7" t="s">
        <v>24</v>
      </c>
      <c r="F101" s="7" t="s">
        <v>4</v>
      </c>
      <c r="G101" s="9">
        <v>10.0</v>
      </c>
      <c r="H101" s="9">
        <v>10.0</v>
      </c>
      <c r="I101" s="5">
        <f t="shared" si="1"/>
        <v>0</v>
      </c>
      <c r="J101" s="6">
        <f t="shared" si="2"/>
        <v>1</v>
      </c>
    </row>
    <row r="102" ht="22.5" customHeight="1">
      <c r="A102" s="7" t="s">
        <v>74</v>
      </c>
      <c r="B102" s="7" t="s">
        <v>75</v>
      </c>
      <c r="C102" s="8" t="s">
        <v>90</v>
      </c>
      <c r="D102" s="4" t="s">
        <v>157</v>
      </c>
      <c r="E102" s="7" t="s">
        <v>54</v>
      </c>
      <c r="F102" s="7" t="s">
        <v>4</v>
      </c>
      <c r="G102" s="9">
        <v>10.0</v>
      </c>
      <c r="H102" s="9">
        <v>10.0</v>
      </c>
      <c r="I102" s="5">
        <f t="shared" si="1"/>
        <v>0</v>
      </c>
      <c r="J102" s="6">
        <f t="shared" si="2"/>
        <v>1</v>
      </c>
    </row>
    <row r="103" ht="22.5" customHeight="1">
      <c r="A103" s="7" t="s">
        <v>20</v>
      </c>
      <c r="B103" s="7" t="s">
        <v>75</v>
      </c>
      <c r="C103" s="8" t="s">
        <v>90</v>
      </c>
      <c r="D103" s="8" t="s">
        <v>158</v>
      </c>
      <c r="E103" s="7" t="s">
        <v>27</v>
      </c>
      <c r="F103" s="7" t="s">
        <v>4</v>
      </c>
      <c r="G103" s="9">
        <v>10.0</v>
      </c>
      <c r="H103" s="9">
        <v>10.0</v>
      </c>
      <c r="I103" s="5">
        <f t="shared" si="1"/>
        <v>0</v>
      </c>
      <c r="J103" s="6">
        <f t="shared" si="2"/>
        <v>1</v>
      </c>
    </row>
    <row r="104" ht="22.5" customHeight="1">
      <c r="A104" s="7" t="s">
        <v>20</v>
      </c>
      <c r="B104" s="7" t="s">
        <v>75</v>
      </c>
      <c r="C104" s="8" t="s">
        <v>90</v>
      </c>
      <c r="D104" s="8" t="s">
        <v>159</v>
      </c>
      <c r="E104" s="7" t="s">
        <v>24</v>
      </c>
      <c r="F104" s="7" t="s">
        <v>4</v>
      </c>
      <c r="G104" s="9">
        <v>5.0</v>
      </c>
      <c r="H104" s="9">
        <v>5.0</v>
      </c>
      <c r="I104" s="5">
        <f t="shared" si="1"/>
        <v>0</v>
      </c>
      <c r="J104" s="6">
        <f t="shared" si="2"/>
        <v>1</v>
      </c>
    </row>
    <row r="105" ht="22.5" customHeight="1">
      <c r="A105" s="7" t="s">
        <v>94</v>
      </c>
      <c r="B105" s="7" t="s">
        <v>95</v>
      </c>
      <c r="C105" s="8" t="s">
        <v>90</v>
      </c>
      <c r="D105" s="8" t="s">
        <v>154</v>
      </c>
      <c r="E105" s="7" t="s">
        <v>110</v>
      </c>
      <c r="F105" s="7" t="s">
        <v>4</v>
      </c>
      <c r="G105" s="9">
        <v>30.0</v>
      </c>
      <c r="H105" s="9">
        <v>30.0</v>
      </c>
      <c r="I105" s="5">
        <f t="shared" si="1"/>
        <v>0</v>
      </c>
      <c r="J105" s="6">
        <f t="shared" si="2"/>
        <v>1</v>
      </c>
    </row>
    <row r="106" ht="22.5" customHeight="1">
      <c r="A106" s="7" t="s">
        <v>74</v>
      </c>
      <c r="B106" s="7" t="s">
        <v>75</v>
      </c>
      <c r="C106" s="8" t="s">
        <v>90</v>
      </c>
      <c r="D106" s="8" t="s">
        <v>160</v>
      </c>
      <c r="E106" s="7" t="s">
        <v>54</v>
      </c>
      <c r="F106" s="7" t="s">
        <v>8</v>
      </c>
      <c r="G106" s="9">
        <v>5.0</v>
      </c>
      <c r="H106" s="9">
        <v>5.0</v>
      </c>
      <c r="I106" s="5">
        <f t="shared" si="1"/>
        <v>0</v>
      </c>
      <c r="J106" s="6">
        <f t="shared" si="2"/>
        <v>1</v>
      </c>
    </row>
    <row r="107" ht="22.5" customHeight="1">
      <c r="A107" s="7" t="s">
        <v>94</v>
      </c>
      <c r="B107" s="7" t="s">
        <v>75</v>
      </c>
      <c r="C107" s="8" t="s">
        <v>90</v>
      </c>
      <c r="D107" s="8" t="s">
        <v>27</v>
      </c>
      <c r="E107" s="7" t="s">
        <v>27</v>
      </c>
      <c r="F107" s="7" t="s">
        <v>8</v>
      </c>
      <c r="G107" s="9">
        <v>5.0</v>
      </c>
      <c r="H107" s="9">
        <v>5.0</v>
      </c>
      <c r="I107" s="5">
        <f t="shared" si="1"/>
        <v>0</v>
      </c>
      <c r="J107" s="6">
        <f t="shared" si="2"/>
        <v>1</v>
      </c>
    </row>
    <row r="108" ht="22.5" customHeight="1">
      <c r="A108" s="7" t="s">
        <v>94</v>
      </c>
      <c r="B108" s="7" t="s">
        <v>95</v>
      </c>
      <c r="C108" s="8" t="s">
        <v>90</v>
      </c>
      <c r="D108" s="8" t="s">
        <v>154</v>
      </c>
      <c r="E108" s="7" t="s">
        <v>110</v>
      </c>
      <c r="F108" s="7" t="s">
        <v>8</v>
      </c>
      <c r="G108" s="9">
        <v>30.0</v>
      </c>
      <c r="H108" s="9">
        <v>30.0</v>
      </c>
      <c r="I108" s="5">
        <f t="shared" si="1"/>
        <v>0</v>
      </c>
      <c r="J108" s="6">
        <f t="shared" si="2"/>
        <v>1</v>
      </c>
    </row>
    <row r="109" ht="22.5" customHeight="1">
      <c r="A109" s="7" t="s">
        <v>94</v>
      </c>
      <c r="B109" s="7" t="s">
        <v>95</v>
      </c>
      <c r="C109" s="8"/>
      <c r="D109" s="8" t="s">
        <v>161</v>
      </c>
      <c r="E109" s="7" t="s">
        <v>99</v>
      </c>
      <c r="F109" s="7" t="s">
        <v>8</v>
      </c>
      <c r="G109" s="9">
        <v>20.0</v>
      </c>
      <c r="H109" s="9">
        <v>20.0</v>
      </c>
      <c r="I109" s="9">
        <f t="shared" si="1"/>
        <v>0</v>
      </c>
      <c r="J109" s="6">
        <f t="shared" si="2"/>
        <v>1</v>
      </c>
    </row>
    <row r="110" ht="22.5" customHeight="1">
      <c r="A110" s="7" t="s">
        <v>94</v>
      </c>
      <c r="B110" s="7" t="s">
        <v>95</v>
      </c>
      <c r="C110" s="8"/>
      <c r="D110" s="8" t="s">
        <v>162</v>
      </c>
      <c r="E110" s="7" t="s">
        <v>99</v>
      </c>
      <c r="F110" s="7" t="s">
        <v>8</v>
      </c>
      <c r="G110" s="9">
        <v>60.0</v>
      </c>
      <c r="H110" s="9">
        <v>60.0</v>
      </c>
      <c r="I110" s="9">
        <f t="shared" si="1"/>
        <v>0</v>
      </c>
      <c r="J110" s="6">
        <f t="shared" si="2"/>
        <v>1</v>
      </c>
    </row>
    <row r="111" ht="22.5" customHeight="1">
      <c r="A111" s="7" t="s">
        <v>94</v>
      </c>
      <c r="B111" s="7" t="s">
        <v>95</v>
      </c>
      <c r="C111" s="8"/>
      <c r="D111" s="8" t="s">
        <v>163</v>
      </c>
      <c r="E111" s="7" t="s">
        <v>99</v>
      </c>
      <c r="F111" s="7" t="s">
        <v>8</v>
      </c>
      <c r="G111" s="9">
        <v>10.0</v>
      </c>
      <c r="H111" s="9">
        <v>10.0</v>
      </c>
      <c r="I111" s="9">
        <f t="shared" si="1"/>
        <v>0</v>
      </c>
      <c r="J111" s="6">
        <f t="shared" si="2"/>
        <v>1</v>
      </c>
    </row>
  </sheetData>
  <dataValidations>
    <dataValidation type="list" allowBlank="1" sqref="F2:F111">
      <formula1>"ETU003373,ETU003250,ETU003274,ETU003200"</formula1>
    </dataValidation>
    <dataValidation type="list" allowBlank="1" sqref="B2:B111">
      <formula1>"Authentification,Serveur Cartes,Carte Web,Signalements,Web,Mobile,Global"</formula1>
    </dataValidation>
    <dataValidation type="custom" allowBlank="1" showDropDown="1" sqref="G2:J111">
      <formula1>AND(ISNUMBER(G2),(NOT(OR(NOT(ISERROR(DATEVALUE(G2))), AND(ISNUMBER(G2), LEFT(CELL("format", G2))="D")))))</formula1>
    </dataValidation>
    <dataValidation type="list" allowBlank="1" sqref="E2:E111">
      <formula1>"Métier,Integration,Affichage,Infra,Doc,Mobile,Gestion,Dev"</formula1>
    </dataValidation>
    <dataValidation type="list" allowBlank="1" sqref="A2:A111">
      <formula1>"Backend,Cartographie,Frontend,Technique,Conception"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tr">
        <f>IFERROR(__xludf.DUMMYFUNCTION("QUERY('c'!F:G, ""select F, sum(G) where F is not null group by F label sum(G) 'Total'"", 1)
"),"#REF!")</f>
        <v>#REF!</v>
      </c>
      <c r="B1" s="11" t="s">
        <v>16</v>
      </c>
      <c r="C1" s="11" t="s">
        <v>17</v>
      </c>
      <c r="D1" s="11" t="s">
        <v>18</v>
      </c>
    </row>
    <row r="2">
      <c r="A2" s="12" t="s">
        <v>2</v>
      </c>
      <c r="B2" s="13">
        <f>SUMIF(Tableau1[Qui], "ETU003373", Tableau1[Estimation])
</f>
        <v>630</v>
      </c>
      <c r="C2" s="13">
        <f>SUMIF(Tableau1[Qui], "ETU003373", Tableau1[Temps passé])
</f>
        <v>630</v>
      </c>
      <c r="D2" s="13">
        <f>SUMIF(Tableau1[Qui], "ETU003373", Tableau1[Reste à faire])
</f>
        <v>0</v>
      </c>
    </row>
    <row r="3">
      <c r="A3" s="12" t="s">
        <v>4</v>
      </c>
      <c r="B3" s="13">
        <f>SUMIF(Tableau1[Qui], "ETU003250", Tableau1[Estimation])
</f>
        <v>415</v>
      </c>
      <c r="C3" s="13">
        <f>SUMIF(Tableau1[Qui], "ETU003250", Tableau1[Temps passé])
</f>
        <v>415</v>
      </c>
      <c r="D3" s="13">
        <f>SUMIF(Tableau1[Qui], "ETU003250", Tableau1[Reste à faire])
</f>
        <v>0</v>
      </c>
    </row>
    <row r="4">
      <c r="A4" s="12" t="s">
        <v>6</v>
      </c>
      <c r="B4" s="13">
        <f>SUMIF(Tableau1[Qui], "ETU003274", Tableau1[Estimation])
</f>
        <v>260</v>
      </c>
      <c r="C4" s="13">
        <f>SUMIF(Tableau1[Qui], "ETU003274", Tableau1[Temps passé])
</f>
        <v>260</v>
      </c>
      <c r="D4" s="13">
        <f>SUMIF(Tableau1[Qui], "ETU003274", Tableau1[Reste à faire])
</f>
        <v>0</v>
      </c>
    </row>
    <row r="5">
      <c r="A5" s="12" t="s">
        <v>8</v>
      </c>
      <c r="B5" s="13">
        <f>SUMIF(Tableau1[Qui], "ETU003200", Tableau1[Estimation])
</f>
        <v>395</v>
      </c>
      <c r="C5" s="13">
        <f>SUMIF(Tableau1[Qui], "ETU003200", Tableau1[Temps passé])
</f>
        <v>395</v>
      </c>
      <c r="D5" s="13">
        <f>SUMIF(Tableau1[Qui], "ETU003200", Tableau1[Reste à faire])
</f>
        <v>0</v>
      </c>
    </row>
    <row r="6">
      <c r="A6" s="11" t="s">
        <v>164</v>
      </c>
      <c r="B6" s="10">
        <f>SUM(B2:B5)</f>
        <v>1700</v>
      </c>
      <c r="C6" s="13"/>
      <c r="D6" s="11"/>
    </row>
  </sheetData>
  <drawing r:id="rId1"/>
  <tableParts count="1">
    <tablePart r:id="rId3"/>
  </tableParts>
</worksheet>
</file>